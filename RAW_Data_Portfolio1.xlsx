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aleezatahir/Downloads/"/>
    </mc:Choice>
  </mc:AlternateContent>
  <xr:revisionPtr revIDLastSave="0" documentId="8_{EC64FE30-07CA-A441-87FF-6A0B6CD73206}" xr6:coauthVersionLast="47" xr6:coauthVersionMax="47" xr10:uidLastSave="{00000000-0000-0000-0000-000000000000}"/>
  <bookViews>
    <workbookView xWindow="0" yWindow="760" windowWidth="19420" windowHeight="10300" activeTab="1" xr2:uid="{26D4546B-D2A1-4444-8EAF-A6228F96F0C1}"/>
  </bookViews>
  <sheets>
    <sheet name="Context" sheetId="12" r:id="rId1"/>
    <sheet name="Data" sheetId="1" r:id="rId2"/>
    <sheet name="1" sheetId="2" r:id="rId3"/>
    <sheet name="2" sheetId="3" r:id="rId4"/>
    <sheet name="3" sheetId="13" r:id="rId5"/>
    <sheet name="4" sheetId="5" r:id="rId6"/>
    <sheet name="5" sheetId="6" r:id="rId7"/>
    <sheet name="6" sheetId="7" r:id="rId8"/>
    <sheet name="7" sheetId="8" r:id="rId9"/>
    <sheet name="8" sheetId="9" r:id="rId10"/>
    <sheet name="9" sheetId="10" r:id="rId11"/>
    <sheet name="10" sheetId="11" r:id="rId12"/>
  </sheets>
  <definedNames>
    <definedName name="_xlnm._FilterDatabase" localSheetId="2" hidden="1">'1'!$B$4:$D$4</definedName>
    <definedName name="_xlnm._FilterDatabase" localSheetId="4" hidden="1">'3'!$U$6:$X$6</definedName>
    <definedName name="_xlnm._FilterDatabase" localSheetId="1" hidden="1">Data!$C$11:$G$11</definedName>
    <definedName name="_xlchart.v1.0" hidden="1">'6'!$Z$5:$Z$304</definedName>
    <definedName name="_xlchart.v1.1" hidden="1">'6'!$X$5:$X$304</definedName>
    <definedName name="_xlchart.v1.2" hidden="1">'6'!$Z$5:$Z$304</definedName>
    <definedName name="_xlchart.v1.3" hidden="1">'6'!$AA$4</definedName>
    <definedName name="_xlchart.v1.4" hidden="1">'6'!$AA$5:$AA$304</definedName>
    <definedName name="_xlchart.v1.5" hidden="1">'6'!$Z$4</definedName>
    <definedName name="_xlchart.v1.6" hidden="1">'6'!$Z$5:$Z$304</definedName>
    <definedName name="_xlchart.v1.7" hidden="1">'6'!$X$5:$X$304</definedName>
    <definedName name="_xlchart.v1.8" hidden="1">'6'!$Z$5:$Z$304</definedName>
    <definedName name="_xlcn.WorksheetConnection_RAWDataWithTask.xlsxdata1" hidden="1">data[]</definedName>
    <definedName name="Slicer_Geography">#N/A</definedName>
    <definedName name="Slicer_Geography1">#N/A</definedName>
    <definedName name="Slicer_Sales_Person">#N/A</definedName>
    <definedName name="Slicer_Sales_Person1">#N/A</definedName>
  </definedNames>
  <calcPr calcId="191029"/>
  <pivotCaches>
    <pivotCache cacheId="43" r:id="rId13"/>
    <pivotCache cacheId="44" r:id="rId14"/>
    <pivotCache cacheId="45" r:id="rId15"/>
    <pivotCache cacheId="46" r:id="rId16"/>
    <pivotCache cacheId="47" r:id="rId17"/>
    <pivotCache cacheId="48" r:id="rId18"/>
  </pivotCaches>
  <extLst>
    <ext xmlns:x14="http://schemas.microsoft.com/office/spreadsheetml/2009/9/main" uri="{876F7934-8845-4945-9796-88D515C7AA90}">
      <x14:pivotCaches>
        <pivotCache cacheId="49" r:id="rId19"/>
        <pivotCache cacheId="50"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RAW Data With Tas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13" l="1" a="1"/>
  <c r="U7" i="13" s="1"/>
  <c r="V7" i="13" s="1"/>
  <c r="C5" i="13" a="1"/>
  <c r="C5" i="13" s="1"/>
  <c r="D5" i="13" s="1"/>
  <c r="E5" i="13" s="1"/>
  <c r="C6" i="2"/>
  <c r="M6" i="10"/>
  <c r="E13" i="10"/>
  <c r="E12" i="10"/>
  <c r="E11" i="10"/>
  <c r="E10" i="10"/>
  <c r="D13" i="10"/>
  <c r="D12" i="10"/>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D10" i="10"/>
  <c r="E7" i="10"/>
  <c r="I53" i="1"/>
  <c r="I57" i="1"/>
  <c r="I69" i="1"/>
  <c r="I73" i="1"/>
  <c r="I85" i="1"/>
  <c r="I89" i="1"/>
  <c r="I105" i="1"/>
  <c r="I121" i="1"/>
  <c r="I137" i="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H54" i="1"/>
  <c r="I54" i="1" s="1"/>
  <c r="H55" i="1"/>
  <c r="I55" i="1" s="1"/>
  <c r="H56" i="1"/>
  <c r="I56" i="1" s="1"/>
  <c r="H57" i="1"/>
  <c r="H58" i="1"/>
  <c r="I58" i="1" s="1"/>
  <c r="H59" i="1"/>
  <c r="I59" i="1" s="1"/>
  <c r="H60" i="1"/>
  <c r="I60" i="1" s="1"/>
  <c r="H61" i="1"/>
  <c r="I61" i="1" s="1"/>
  <c r="H62" i="1"/>
  <c r="I62" i="1" s="1"/>
  <c r="H63" i="1"/>
  <c r="I63" i="1" s="1"/>
  <c r="H64" i="1"/>
  <c r="I64" i="1" s="1"/>
  <c r="H65" i="1"/>
  <c r="I65" i="1" s="1"/>
  <c r="H66" i="1"/>
  <c r="I66" i="1" s="1"/>
  <c r="H67" i="1"/>
  <c r="I67" i="1" s="1"/>
  <c r="H68" i="1"/>
  <c r="I68" i="1" s="1"/>
  <c r="H69" i="1"/>
  <c r="H70" i="1"/>
  <c r="I70" i="1" s="1"/>
  <c r="H71" i="1"/>
  <c r="I71" i="1" s="1"/>
  <c r="H72" i="1"/>
  <c r="I72" i="1" s="1"/>
  <c r="H73" i="1"/>
  <c r="H74" i="1"/>
  <c r="I74" i="1" s="1"/>
  <c r="H75" i="1"/>
  <c r="I75" i="1" s="1"/>
  <c r="H76" i="1"/>
  <c r="I76" i="1" s="1"/>
  <c r="H77" i="1"/>
  <c r="I77" i="1" s="1"/>
  <c r="H78" i="1"/>
  <c r="I78" i="1" s="1"/>
  <c r="H79" i="1"/>
  <c r="I79" i="1" s="1"/>
  <c r="H80" i="1"/>
  <c r="I80" i="1" s="1"/>
  <c r="H81" i="1"/>
  <c r="I81" i="1" s="1"/>
  <c r="H82" i="1"/>
  <c r="I82" i="1" s="1"/>
  <c r="H83" i="1"/>
  <c r="I83" i="1" s="1"/>
  <c r="H84" i="1"/>
  <c r="I84" i="1" s="1"/>
  <c r="H85" i="1"/>
  <c r="H86" i="1"/>
  <c r="I86" i="1" s="1"/>
  <c r="H87" i="1"/>
  <c r="I87" i="1" s="1"/>
  <c r="H88" i="1"/>
  <c r="I88" i="1" s="1"/>
  <c r="H89" i="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C13" i="2"/>
  <c r="D11" i="2"/>
  <c r="D10" i="2"/>
  <c r="C11" i="2"/>
  <c r="C10" i="2"/>
  <c r="D8" i="2"/>
  <c r="C8" i="2"/>
  <c r="D7" i="2"/>
  <c r="C7" i="2"/>
  <c r="D6" i="2"/>
  <c r="C5" i="2"/>
  <c r="D5" i="2"/>
  <c r="X7" i="13" l="1"/>
  <c r="V11" i="13"/>
  <c r="V9" i="13"/>
  <c r="X9" i="13"/>
  <c r="V8" i="13"/>
  <c r="X11" i="13"/>
  <c r="X12" i="13"/>
  <c r="V12" i="13"/>
  <c r="X10" i="13"/>
  <c r="V10" i="13"/>
  <c r="X8" i="13"/>
  <c r="D11" i="10"/>
  <c r="D7" i="13"/>
  <c r="E7" i="13" s="1"/>
  <c r="D10" i="13"/>
  <c r="E10" i="13" s="1"/>
  <c r="F8" i="13"/>
  <c r="F5" i="13"/>
  <c r="F7" i="13"/>
  <c r="F9" i="13"/>
  <c r="D6" i="13"/>
  <c r="E6" i="13" s="1"/>
  <c r="D9" i="13"/>
  <c r="E9" i="13" s="1"/>
  <c r="D8" i="13"/>
  <c r="E8" i="13" s="1"/>
  <c r="F10" i="13"/>
  <c r="F6" i="13"/>
  <c r="D9" i="2"/>
  <c r="C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50D657-70CE-4118-B113-02F25BB8F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836FF6-BBF7-4AFE-BE5B-4345A7955461}" name="WorksheetConnection_RAW Data With Task.xlsx!data" type="102" refreshedVersion="8" minRefreshableVersion="5">
    <extLst>
      <ext xmlns:x15="http://schemas.microsoft.com/office/spreadsheetml/2010/11/main" uri="{DE250136-89BD-433C-8126-D09CA5730AF9}">
        <x15:connection id="data" autoDelete="1">
          <x15:rangePr sourceName="_xlcn.WorksheetConnection_RAWDataWithTask.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<sst xmlns="http://schemas.openxmlformats.org/spreadsheetml/2006/main" count="3887" uniqueCount="96">
  <si>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</si>
  <si>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</si>
  <si>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</si>
  <si>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</si>
  <si>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</si>
  <si>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</si>
  <si>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</si>
  <si>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</si>
  <si>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</si>
  <si>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</si>
  <si>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</si>
  <si>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</si>
  <si>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</si>
  <si>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</si>
  <si>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</si>
  <si>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</si>
  <si>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</si>
  <si>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</si>
  <si>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</si>
  <si>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</si>
  <si>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</si>
  <si>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</si>
  <si>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</si>
  <si>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</si>
  <si>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</si>
  <si>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</si>
  <si>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</si>
  <si>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</si>
  <si>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</si>
  <si>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</si>
  <si>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</si>
  <si>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</si>
  <si>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</si>
  <si>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</si>
  <si>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</si>
  <si>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</si>
  <si>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</si>
  <si>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</si>
  <si>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</si>
  <si>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</si>
  <si>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</si>
  <si>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</si>
  <si>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</si>
  <si>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Quick statistics</t>
  </si>
  <si>
    <t>Sales by country (with formulas)</t>
  </si>
  <si>
    <t>Sales by country (with pivots)</t>
  </si>
  <si>
    <t>Dynamic country-level Sales Report</t>
  </si>
  <si>
    <t>Which products to discontinue?</t>
  </si>
  <si>
    <t>Best Sales person by country</t>
  </si>
  <si>
    <t>Units</t>
  </si>
  <si>
    <t>Cost per unit</t>
  </si>
  <si>
    <t>Profits by product (using products table) - See column Y</t>
  </si>
  <si>
    <t>Exploratory Data Analysis (EDA) with CF</t>
  </si>
  <si>
    <t>Top 5 products by $ per unit</t>
  </si>
  <si>
    <t>Are there any anomalies in the data?</t>
  </si>
  <si>
    <t xml:space="preserve">Amount </t>
  </si>
  <si>
    <t xml:space="preserve">Average </t>
  </si>
  <si>
    <t>Median</t>
  </si>
  <si>
    <t>Min</t>
  </si>
  <si>
    <t>Max</t>
  </si>
  <si>
    <t>Range</t>
  </si>
  <si>
    <t>Last Q</t>
  </si>
  <si>
    <t>First Q</t>
  </si>
  <si>
    <t>Unique/Dist. CountA</t>
  </si>
  <si>
    <t>Sales Analysis</t>
  </si>
  <si>
    <t>Country</t>
  </si>
  <si>
    <t>Sales Analysis (Pivot)</t>
  </si>
  <si>
    <t>Top 5 Items Per Unit Sold</t>
  </si>
  <si>
    <t>Are there any anomalies in our data?</t>
  </si>
  <si>
    <t>Best/Worst Sales person by country?</t>
  </si>
  <si>
    <t>Profit Analysis?</t>
  </si>
  <si>
    <t>Dynamic Country Level Report</t>
  </si>
  <si>
    <t>Row Labels</t>
  </si>
  <si>
    <t>Grand Total</t>
  </si>
  <si>
    <t>Sum of Amount</t>
  </si>
  <si>
    <t>Sum of Units</t>
  </si>
  <si>
    <t>Bars</t>
  </si>
  <si>
    <t>Sales Per Unit</t>
  </si>
  <si>
    <t>write as a formula to get result</t>
  </si>
  <si>
    <t>Cost Per Unit</t>
  </si>
  <si>
    <t>Cost</t>
  </si>
  <si>
    <t xml:space="preserve">Total Profit </t>
  </si>
  <si>
    <t>Pick a Country</t>
  </si>
  <si>
    <t xml:space="preserve">Number of Transactions </t>
  </si>
  <si>
    <t>Total</t>
  </si>
  <si>
    <t>Average</t>
  </si>
  <si>
    <t>Profit</t>
  </si>
  <si>
    <t>Quantity</t>
  </si>
  <si>
    <t>Sales</t>
  </si>
  <si>
    <t>Total Profit</t>
  </si>
  <si>
    <t>By Sales Person</t>
  </si>
  <si>
    <t>Profit %</t>
  </si>
  <si>
    <t>Statistics</t>
  </si>
  <si>
    <t xml:space="preserve">Country </t>
  </si>
  <si>
    <t>Countries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</si>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</sst>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quot;$&quot;#,##0_);[Red]\(&quot;$&quot;#,##0\)"/>
    <numFmt numFmtId="166" formatCode="&quot;$&quot;#,##0.00_);[Red]\(&quot;$&quot;#,##0.00\)"/>
    <numFmt numFmtId="167" formatCode="_-[$$-409]* #,##0_ ;_-[$$-409]* \-#,##0\ ;_-[$$-409]* &quot;-&quot;??_ ;_-@_ "/>
    <numFmt numFmtId="168" formatCode="_-* #,##0_-;\-* #,##0_-;_-* &quot;-&quot;??_-;_-@_-"/>
    <numFmt numFmtId="169" formatCode="\$#,##0.00;\(\$#,##0.00\);\$#,##0.00"/>
    <numFmt numFmtId="170" formatCode="_-[$$-409]* #,##0.00_ ;_-[$$-409]* \-#,##0.00\ ;_-[$$-409]* &quot;-&quot;??_ ;_-@_ "/>
    <numFmt numFmtId="171" formatCode="\$#,##0;\(\$#,##0\);\$#,##0"/>
    <numFmt numFmtId="172" formatCode="0.0%;\-0.0%;0.0%"/>
    <numFmt numFmtId="173" formatCode="[$$-409]#,##0.00"/>
    <numFmt numFmtId="174" formatCode="&quot;£&quot;#,##0.00"/>
  </numFmts>
  <fonts count="5"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5" tint="0.59999389629810485"/>
        <bgColor indexed="64"/>
      </patternFill>
    </fill>
  </fills>
  <borders count="8">
    <border>
      <left/>
      <right/>
      <top/>
      <bottom/>
      <diagonal/>
    </border>
    <border>
      <left/>
      <right/>
      <top style="dotted">
        <color theme="0" tint="-0.24994659260841701"/>
      </top>
      <bottom style="dotted">
        <color theme="0" tint="-0.2499465926084170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theme="4"/>
      </left>
      <right/>
      <top style="thin">
        <color theme="4"/>
      </top>
      <bottom/>
      <diagonal/>
    </border>
    <border>
      <left/>
      <right/>
      <top style="thin">
        <color theme="4"/>
      </top>
      <bottom/>
      <diagonal/>
    </border>
  </borders>
  <cellStyleXfs count="2">
    <xf numFmtId="0" fontId="0" fillId="0" borderId="0"/>
    <xf numFmtId="164" fontId="3" fillId="0" borderId="0" applyFont="0" applyFill="0" applyBorder="0" applyAlignment="0" applyProtection="0"/>
  </cellStyleXfs>
  <cellXfs count="44">
    <xf numFmtId="0" fontId="0" fillId="0" borderId="0" xfId="0"/>
    <xf numFmtId="0" fontId="0" fillId="2" borderId="0" xfId="0" applyFill="1"/>
    <xf numFmtId="0" fontId="1" fillId="2" borderId="0" xfId="0" applyFont="1" applyFill="1" applyAlignment="1">
      <alignment vertical="center"/>
    </xf>
    <xf numFmtId="165"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2" borderId="0" xfId="0" applyFont="1" applyFill="1"/>
    <xf numFmtId="0" fontId="2" fillId="0" borderId="0" xfId="0" applyFont="1" applyAlignment="1">
      <alignment horizontal="right"/>
    </xf>
    <xf numFmtId="166" fontId="0" fillId="0" borderId="0" xfId="0" applyNumberFormat="1"/>
    <xf numFmtId="0" fontId="0" fillId="3" borderId="0" xfId="0" applyFill="1"/>
    <xf numFmtId="1" fontId="0" fillId="0" borderId="0" xfId="0" applyNumberFormat="1"/>
    <xf numFmtId="0" fontId="2" fillId="4" borderId="0" xfId="0" applyFont="1" applyFill="1"/>
    <xf numFmtId="0" fontId="0" fillId="0" borderId="2" xfId="0" applyBorder="1"/>
    <xf numFmtId="167" fontId="0" fillId="0" borderId="2" xfId="0" applyNumberFormat="1" applyBorder="1"/>
    <xf numFmtId="168" fontId="0" fillId="0" borderId="2" xfId="1" applyNumberFormat="1" applyFont="1" applyBorder="1"/>
    <xf numFmtId="0" fontId="0" fillId="0" borderId="0" xfId="0" pivotButton="1"/>
    <xf numFmtId="0" fontId="0" fillId="0" borderId="0" xfId="0" applyAlignment="1">
      <alignment horizontal="left"/>
    </xf>
    <xf numFmtId="169" fontId="0" fillId="0" borderId="0" xfId="0" applyNumberFormat="1"/>
    <xf numFmtId="0" fontId="0" fillId="6" borderId="3" xfId="0" applyFill="1" applyBorder="1"/>
    <xf numFmtId="0" fontId="0" fillId="6" borderId="4" xfId="0" applyFill="1" applyBorder="1"/>
    <xf numFmtId="0" fontId="0" fillId="0" borderId="4" xfId="0" applyBorder="1"/>
    <xf numFmtId="0" fontId="0" fillId="0" borderId="3" xfId="0" applyBorder="1"/>
    <xf numFmtId="0" fontId="4" fillId="5" borderId="3" xfId="0" applyFont="1" applyFill="1" applyBorder="1"/>
    <xf numFmtId="0" fontId="0" fillId="0" borderId="0" xfId="0" applyAlignment="1">
      <alignment horizontal="left" indent="1"/>
    </xf>
    <xf numFmtId="170" fontId="0" fillId="0" borderId="0" xfId="0" applyNumberFormat="1"/>
    <xf numFmtId="167" fontId="0" fillId="0" borderId="0" xfId="0" applyNumberFormat="1"/>
    <xf numFmtId="171" fontId="0" fillId="0" borderId="0" xfId="0" applyNumberFormat="1"/>
    <xf numFmtId="0" fontId="4" fillId="5" borderId="4" xfId="0" applyFont="1" applyFill="1" applyBorder="1"/>
    <xf numFmtId="0" fontId="2" fillId="7" borderId="0" xfId="0" applyFont="1" applyFill="1"/>
    <xf numFmtId="0" fontId="0" fillId="0" borderId="0" xfId="0" applyAlignment="1">
      <alignment horizontal="center"/>
    </xf>
    <xf numFmtId="0" fontId="0" fillId="7" borderId="5" xfId="0" applyFill="1" applyBorder="1"/>
    <xf numFmtId="172" fontId="0" fillId="0" borderId="0" xfId="0" applyNumberFormat="1"/>
    <xf numFmtId="0" fontId="4" fillId="5" borderId="6" xfId="0" applyFont="1" applyFill="1" applyBorder="1"/>
    <xf numFmtId="0" fontId="4" fillId="5" borderId="7" xfId="0" applyFont="1" applyFill="1" applyBorder="1"/>
    <xf numFmtId="0" fontId="0" fillId="0" borderId="6" xfId="0" applyBorder="1"/>
    <xf numFmtId="0" fontId="0" fillId="0" borderId="7" xfId="0" applyBorder="1"/>
    <xf numFmtId="173" fontId="0" fillId="2" borderId="0" xfId="0" applyNumberFormat="1" applyFill="1"/>
    <xf numFmtId="173" fontId="0" fillId="0" borderId="0" xfId="0" applyNumberFormat="1"/>
    <xf numFmtId="174" fontId="0" fillId="0" borderId="0" xfId="0" applyNumberFormat="1"/>
    <xf numFmtId="0" fontId="2" fillId="8" borderId="0" xfId="0" applyFont="1" applyFill="1"/>
    <xf numFmtId="174" fontId="2" fillId="8" borderId="0" xfId="0" applyNumberFormat="1" applyFont="1" applyFill="1"/>
    <xf numFmtId="173" fontId="2" fillId="8" borderId="0" xfId="0" applyNumberFormat="1" applyFont="1" applyFill="1"/>
  </cellXfs>
  <cellStyles count="2">
    <cellStyle name="Comma" xfId="1" builtinId="3"/>
    <cellStyle name="Normal" xfId="0" builtinId="0"/>
  </cellStyles>
  <dxfs count="45">
    <dxf>
      <font>
        <color rgb="FF9C0006"/>
      </font>
      <fill>
        <patternFill>
          <bgColor rgb="FFFFC7CE"/>
        </patternFill>
      </fill>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70" formatCode="_-[$$-409]* #,##0.00_ ;_-[$$-409]* \-#,##0.0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70" formatCode="_-[$$-409]* #,##0.00_ ;_-[$$-409]* \-#,##0.00\ ;_-[$$-409]* &quot;-&quot;??_ ;_-@_ "/>
    </dxf>
    <dxf>
      <numFmt numFmtId="3" formatCode="#,##0"/>
    </dxf>
    <dxf>
      <numFmt numFmtId="165" formatCode="&quot;$&quot;#,##0_);[Red]\(&quot;$&quot;#,##0\)"/>
    </dxf>
    <dxf>
      <fill>
        <patternFill patternType="solid">
          <fgColor rgb="FFFFC7CE"/>
          <bgColor rgb="FF000000"/>
        </patternFill>
      </fill>
    </dxf>
    <dxf>
      <font>
        <b/>
        <i val="0"/>
        <strike val="0"/>
        <condense val="0"/>
        <extend val="0"/>
        <outline val="0"/>
        <shadow val="0"/>
        <u val="none"/>
        <vertAlign val="baseline"/>
        <sz val="11"/>
        <color theme="1"/>
        <name val="Calibri"/>
        <family val="2"/>
        <scheme val="minor"/>
      </font>
    </dxf>
    <dxf>
      <numFmt numFmtId="173" formatCode="[$$-409]#,##0.00"/>
    </dxf>
    <dxf>
      <fill>
        <patternFill patternType="solid">
          <fgColor rgb="FFFFEB9C"/>
          <bgColor rgb="FF000000"/>
        </patternFill>
      </fill>
    </dxf>
    <dxf>
      <numFmt numFmtId="173" formatCode="[$$-409]#,##0.00"/>
    </dxf>
    <dxf>
      <fill>
        <patternFill patternType="solid">
          <fgColor rgb="FFFFEB9C"/>
          <bgColor rgb="FF000000"/>
        </patternFill>
      </fill>
    </dxf>
    <dxf>
      <numFmt numFmtId="1" formatCode="0"/>
    </dxf>
    <dxf>
      <numFmt numFmtId="1" formatCode="0"/>
    </dxf>
    <dxf>
      <numFmt numFmtId="165" formatCode="&quot;$&quot;#,##0_);[Red]\(&quot;$&quot;#,##0\)"/>
    </dxf>
    <dxf>
      <numFmt numFmtId="0" formatCode="General"/>
    </dxf>
    <dxf>
      <numFmt numFmtId="0" formatCode="General"/>
    </dxf>
    <dxf>
      <numFmt numFmtId="3" formatCode="#,##0"/>
    </dxf>
    <dxf>
      <numFmt numFmtId="165" formatCode="&quot;$&quot;#,##0_);[Red]\(&quot;$&quot;#,##0\)"/>
    </dxf>
    <dxf>
      <fill>
        <patternFill patternType="solid">
          <fgColor rgb="FFFFC7CE"/>
          <bgColor rgb="FF000000"/>
        </patternFill>
      </fill>
    </dxf>
    <dxf>
      <font>
        <b/>
        <i val="0"/>
        <strike val="0"/>
        <condense val="0"/>
        <extend val="0"/>
        <outline val="0"/>
        <shadow val="0"/>
        <u val="none"/>
        <vertAlign val="baseline"/>
        <sz val="11"/>
        <color theme="1"/>
        <name val="Calibri"/>
        <family val="2"/>
        <scheme val="minor"/>
      </font>
    </dxf>
    <dxf>
      <numFmt numFmtId="166"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onnections" Target="connections.xml"/><Relationship Id="rId21" Type="http://schemas.microsoft.com/office/2007/relationships/slicerCache" Target="slicerCaches/slicerCache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theme" Target="theme/theme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E3-42BC-9342-8D55ED67D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E3-42BC-9342-8D55ED67D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E3-42BC-9342-8D55ED67D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E3-42BC-9342-8D55ED67D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E3-42BC-9342-8D55ED67D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2E3-42BC-9342-8D55ED67D7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2E3-42BC-9342-8D55ED67D7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2E3-42BC-9342-8D55ED67D7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2E3-42BC-9342-8D55ED67D7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2E3-42BC-9342-8D55ED67D7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2E3-42BC-9342-8D55ED67D7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2E3-42BC-9342-8D55ED67D7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2E3-42BC-9342-8D55ED67D7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2E3-42BC-9342-8D55ED67D7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2E3-42BC-9342-8D55ED67D7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2E3-42BC-9342-8D55ED67D7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2E3-42BC-9342-8D55ED67D7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2E3-42BC-9342-8D55ED67D7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2E3-42BC-9342-8D55ED67D7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2E3-42BC-9342-8D55ED67D7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2E3-42BC-9342-8D55ED67D7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2E3-42BC-9342-8D55ED67D7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2E3-42BC-9342-8D55ED67D7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2E3-42BC-9342-8D55ED67D7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2E3-42BC-9342-8D55ED67D7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2E3-42BC-9342-8D55ED67D79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2E3-42BC-9342-8D55ED67D79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2E3-42BC-9342-8D55ED67D79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2E3-42BC-9342-8D55ED67D79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2E3-42BC-9342-8D55ED67D79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2E3-42BC-9342-8D55ED67D79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2E3-42BC-9342-8D55ED67D79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2E3-42BC-9342-8D55ED67D79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2E3-42BC-9342-8D55ED67D79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2E3-42BC-9342-8D55ED67D79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2E3-42BC-9342-8D55ED67D79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2E3-42BC-9342-8D55ED67D79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2E3-42BC-9342-8D55ED67D79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2E3-42BC-9342-8D55ED67D79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2E3-42BC-9342-8D55ED67D79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2E3-42BC-9342-8D55ED67D79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2E3-42BC-9342-8D55ED67D79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2E3-42BC-9342-8D55ED67D79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2E3-42BC-9342-8D55ED67D79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2E3-42BC-9342-8D55ED67D79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2E3-42BC-9342-8D55ED67D79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2E3-42BC-9342-8D55ED67D79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2E3-42BC-9342-8D55ED67D79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2E3-42BC-9342-8D55ED67D79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2E3-42BC-9342-8D55ED67D79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2E3-42BC-9342-8D55ED67D79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2E3-42BC-9342-8D55ED67D79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2E3-42BC-9342-8D55ED67D79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2E3-42BC-9342-8D55ED67D79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2E3-42BC-9342-8D55ED67D79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2E3-42BC-9342-8D55ED67D79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2E3-42BC-9342-8D55ED67D79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2E3-42BC-9342-8D55ED67D79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2E3-42BC-9342-8D55ED67D79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2E3-42BC-9342-8D55ED67D79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2E3-42BC-9342-8D55ED67D79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2E3-42BC-9342-8D55ED67D79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B2E3-42BC-9342-8D55ED67D79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B2E3-42BC-9342-8D55ED67D79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B2E3-42BC-9342-8D55ED67D79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B2E3-42BC-9342-8D55ED67D79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B2E3-42BC-9342-8D55ED67D79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B2E3-42BC-9342-8D55ED67D79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B2E3-42BC-9342-8D55ED67D79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B2E3-42BC-9342-8D55ED67D79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B2E3-42BC-9342-8D55ED67D79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B2E3-42BC-9342-8D55ED67D79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B2E3-42BC-9342-8D55ED67D79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B2E3-42BC-9342-8D55ED67D79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B2E3-42BC-9342-8D55ED67D79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B2E3-42BC-9342-8D55ED67D79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B2E3-42BC-9342-8D55ED67D79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B2E3-42BC-9342-8D55ED67D79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B2E3-42BC-9342-8D55ED67D79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B2E3-42BC-9342-8D55ED67D79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B2E3-42BC-9342-8D55ED67D79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B2E3-42BC-9342-8D55ED67D79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B2E3-42BC-9342-8D55ED67D79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B2E3-42BC-9342-8D55ED67D79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B2E3-42BC-9342-8D55ED67D79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B2E3-42BC-9342-8D55ED67D79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B2E3-42BC-9342-8D55ED67D79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B2E3-42BC-9342-8D55ED67D79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B2E3-42BC-9342-8D55ED67D79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B2E3-42BC-9342-8D55ED67D79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B2E3-42BC-9342-8D55ED67D79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B2E3-42BC-9342-8D55ED67D79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B2E3-42BC-9342-8D55ED67D79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B2E3-42BC-9342-8D55ED67D79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B2E3-42BC-9342-8D55ED67D79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B2E3-42BC-9342-8D55ED67D79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B2E3-42BC-9342-8D55ED67D79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B2E3-42BC-9342-8D55ED67D79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B2E3-42BC-9342-8D55ED67D79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B2E3-42BC-9342-8D55ED67D79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B2E3-42BC-9342-8D55ED67D79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B2E3-42BC-9342-8D55ED67D79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B2E3-42BC-9342-8D55ED67D79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B2E3-42BC-9342-8D55ED67D79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B2E3-42BC-9342-8D55ED67D79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B2E3-42BC-9342-8D55ED67D79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B2E3-42BC-9342-8D55ED67D79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B2E3-42BC-9342-8D55ED67D792}"/>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B2E3-42BC-9342-8D55ED67D792}"/>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B2E3-42BC-9342-8D55ED67D792}"/>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B2E3-42BC-9342-8D55ED67D792}"/>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B2E3-42BC-9342-8D55ED67D792}"/>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B2E3-42BC-9342-8D55ED67D792}"/>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B2E3-42BC-9342-8D55ED67D792}"/>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B2E3-42BC-9342-8D55ED67D792}"/>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B2E3-42BC-9342-8D55ED67D792}"/>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B2E3-42BC-9342-8D55ED67D792}"/>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B2E3-42BC-9342-8D55ED67D792}"/>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B2E3-42BC-9342-8D55ED67D792}"/>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B2E3-42BC-9342-8D55ED67D792}"/>
              </c:ext>
            </c:extLst>
          </c:dPt>
          <c:val>
            <c:numRef>
              <c:f>'3'!$B$14:$B$133</c:f>
              <c:numCache>
                <c:formatCode>General</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186F-40CC-8494-5E524FB625CE}"/>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F1-B2E3-42BC-9342-8D55ED67D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3-B2E3-42BC-9342-8D55ED67D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5-B2E3-42BC-9342-8D55ED67D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7-B2E3-42BC-9342-8D55ED67D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F9-B2E3-42BC-9342-8D55ED67D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FB-B2E3-42BC-9342-8D55ED67D7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FD-B2E3-42BC-9342-8D55ED67D7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FF-B2E3-42BC-9342-8D55ED67D7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1-B2E3-42BC-9342-8D55ED67D7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3-B2E3-42BC-9342-8D55ED67D7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5-B2E3-42BC-9342-8D55ED67D7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7-B2E3-42BC-9342-8D55ED67D7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09-B2E3-42BC-9342-8D55ED67D7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0B-B2E3-42BC-9342-8D55ED67D7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0D-B2E3-42BC-9342-8D55ED67D7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0F-B2E3-42BC-9342-8D55ED67D7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1-B2E3-42BC-9342-8D55ED67D7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3-B2E3-42BC-9342-8D55ED67D7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5-B2E3-42BC-9342-8D55ED67D7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7-B2E3-42BC-9342-8D55ED67D7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19-B2E3-42BC-9342-8D55ED67D7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1B-B2E3-42BC-9342-8D55ED67D7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1D-B2E3-42BC-9342-8D55ED67D7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1F-B2E3-42BC-9342-8D55ED67D7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1-B2E3-42BC-9342-8D55ED67D7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3-B2E3-42BC-9342-8D55ED67D79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5-B2E3-42BC-9342-8D55ED67D79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7-B2E3-42BC-9342-8D55ED67D79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9-B2E3-42BC-9342-8D55ED67D79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2B-B2E3-42BC-9342-8D55ED67D79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2D-B2E3-42BC-9342-8D55ED67D79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2F-B2E3-42BC-9342-8D55ED67D79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31-B2E3-42BC-9342-8D55ED67D79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33-B2E3-42BC-9342-8D55ED67D79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5-B2E3-42BC-9342-8D55ED67D79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37-B2E3-42BC-9342-8D55ED67D79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9-B2E3-42BC-9342-8D55ED67D79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3B-B2E3-42BC-9342-8D55ED67D79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3D-B2E3-42BC-9342-8D55ED67D79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3F-B2E3-42BC-9342-8D55ED67D79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41-B2E3-42BC-9342-8D55ED67D79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43-B2E3-42BC-9342-8D55ED67D79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45-B2E3-42BC-9342-8D55ED67D79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47-B2E3-42BC-9342-8D55ED67D79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49-B2E3-42BC-9342-8D55ED67D79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4B-B2E3-42BC-9342-8D55ED67D79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4D-B2E3-42BC-9342-8D55ED67D79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4F-B2E3-42BC-9342-8D55ED67D79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51-B2E3-42BC-9342-8D55ED67D79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53-B2E3-42BC-9342-8D55ED67D79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55-B2E3-42BC-9342-8D55ED67D79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57-B2E3-42BC-9342-8D55ED67D79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59-B2E3-42BC-9342-8D55ED67D79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5B-B2E3-42BC-9342-8D55ED67D79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5D-B2E3-42BC-9342-8D55ED67D79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5F-B2E3-42BC-9342-8D55ED67D79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61-B2E3-42BC-9342-8D55ED67D79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63-B2E3-42BC-9342-8D55ED67D79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65-B2E3-42BC-9342-8D55ED67D79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67-B2E3-42BC-9342-8D55ED67D792}"/>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69-B2E3-42BC-9342-8D55ED67D792}"/>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6B-B2E3-42BC-9342-8D55ED67D792}"/>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6D-B2E3-42BC-9342-8D55ED67D792}"/>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6F-B2E3-42BC-9342-8D55ED67D792}"/>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71-B2E3-42BC-9342-8D55ED67D792}"/>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73-B2E3-42BC-9342-8D55ED67D792}"/>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75-B2E3-42BC-9342-8D55ED67D792}"/>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77-B2E3-42BC-9342-8D55ED67D792}"/>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79-B2E3-42BC-9342-8D55ED67D792}"/>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7B-B2E3-42BC-9342-8D55ED67D792}"/>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7D-B2E3-42BC-9342-8D55ED67D792}"/>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7F-B2E3-42BC-9342-8D55ED67D792}"/>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1-B2E3-42BC-9342-8D55ED67D792}"/>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83-B2E3-42BC-9342-8D55ED67D792}"/>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5-B2E3-42BC-9342-8D55ED67D792}"/>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87-B2E3-42BC-9342-8D55ED67D792}"/>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89-B2E3-42BC-9342-8D55ED67D792}"/>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8B-B2E3-42BC-9342-8D55ED67D792}"/>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8D-B2E3-42BC-9342-8D55ED67D792}"/>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8F-B2E3-42BC-9342-8D55ED67D792}"/>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1-B2E3-42BC-9342-8D55ED67D792}"/>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93-B2E3-42BC-9342-8D55ED67D792}"/>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5-B2E3-42BC-9342-8D55ED67D792}"/>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97-B2E3-42BC-9342-8D55ED67D792}"/>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9-B2E3-42BC-9342-8D55ED67D792}"/>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9B-B2E3-42BC-9342-8D55ED67D792}"/>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9D-B2E3-42BC-9342-8D55ED67D792}"/>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9F-B2E3-42BC-9342-8D55ED67D792}"/>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A1-B2E3-42BC-9342-8D55ED67D792}"/>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A3-B2E3-42BC-9342-8D55ED67D792}"/>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A5-B2E3-42BC-9342-8D55ED67D792}"/>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A7-B2E3-42BC-9342-8D55ED67D792}"/>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9-B2E3-42BC-9342-8D55ED67D792}"/>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AB-B2E3-42BC-9342-8D55ED67D792}"/>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AD-B2E3-42BC-9342-8D55ED67D792}"/>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AF-B2E3-42BC-9342-8D55ED67D792}"/>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B1-B2E3-42BC-9342-8D55ED67D792}"/>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B3-B2E3-42BC-9342-8D55ED67D792}"/>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B5-B2E3-42BC-9342-8D55ED67D792}"/>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B7-B2E3-42BC-9342-8D55ED67D792}"/>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B9-B2E3-42BC-9342-8D55ED67D792}"/>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BB-B2E3-42BC-9342-8D55ED67D792}"/>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BD-B2E3-42BC-9342-8D55ED67D792}"/>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BF-B2E3-42BC-9342-8D55ED67D792}"/>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C1-B2E3-42BC-9342-8D55ED67D792}"/>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C3-B2E3-42BC-9342-8D55ED67D792}"/>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C5-B2E3-42BC-9342-8D55ED67D792}"/>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C7-B2E3-42BC-9342-8D55ED67D792}"/>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1C9-B2E3-42BC-9342-8D55ED67D792}"/>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1CB-B2E3-42BC-9342-8D55ED67D792}"/>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1CD-B2E3-42BC-9342-8D55ED67D792}"/>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1CF-B2E3-42BC-9342-8D55ED67D792}"/>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1D1-B2E3-42BC-9342-8D55ED67D792}"/>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1D3-B2E3-42BC-9342-8D55ED67D792}"/>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D5-B2E3-42BC-9342-8D55ED67D792}"/>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D7-B2E3-42BC-9342-8D55ED67D792}"/>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9-B2E3-42BC-9342-8D55ED67D792}"/>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B-B2E3-42BC-9342-8D55ED67D792}"/>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D-B2E3-42BC-9342-8D55ED67D792}"/>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F-B2E3-42BC-9342-8D55ED67D792}"/>
              </c:ext>
            </c:extLst>
          </c:dPt>
          <c:val>
            <c:numRef>
              <c:f>'3'!$C$14:$C$133</c:f>
              <c:numCache>
                <c:formatCode>General</c:formatCode>
                <c:ptCount val="120"/>
                <c:pt idx="0">
                  <c:v>48</c:v>
                </c:pt>
                <c:pt idx="1">
                  <c:v>84</c:v>
                </c:pt>
                <c:pt idx="2">
                  <c:v>21</c:v>
                </c:pt>
                <c:pt idx="3">
                  <c:v>204</c:v>
                </c:pt>
                <c:pt idx="4">
                  <c:v>159</c:v>
                </c:pt>
                <c:pt idx="5">
                  <c:v>123</c:v>
                </c:pt>
                <c:pt idx="6">
                  <c:v>51</c:v>
                </c:pt>
                <c:pt idx="7">
                  <c:v>150</c:v>
                </c:pt>
                <c:pt idx="8">
                  <c:v>168</c:v>
                </c:pt>
                <c:pt idx="9">
                  <c:v>135</c:v>
                </c:pt>
                <c:pt idx="10">
                  <c:v>39</c:v>
                </c:pt>
                <c:pt idx="11">
                  <c:v>339</c:v>
                </c:pt>
                <c:pt idx="12">
                  <c:v>201</c:v>
                </c:pt>
                <c:pt idx="13">
                  <c:v>30</c:v>
                </c:pt>
                <c:pt idx="14">
                  <c:v>234</c:v>
                </c:pt>
                <c:pt idx="15">
                  <c:v>138</c:v>
                </c:pt>
                <c:pt idx="16">
                  <c:v>231</c:v>
                </c:pt>
                <c:pt idx="17">
                  <c:v>312</c:v>
                </c:pt>
                <c:pt idx="18">
                  <c:v>120</c:v>
                </c:pt>
                <c:pt idx="19">
                  <c:v>207</c:v>
                </c:pt>
                <c:pt idx="20">
                  <c:v>90</c:v>
                </c:pt>
                <c:pt idx="21">
                  <c:v>27</c:v>
                </c:pt>
                <c:pt idx="22">
                  <c:v>288</c:v>
                </c:pt>
                <c:pt idx="23">
                  <c:v>87</c:v>
                </c:pt>
                <c:pt idx="24">
                  <c:v>162</c:v>
                </c:pt>
                <c:pt idx="25">
                  <c:v>36</c:v>
                </c:pt>
                <c:pt idx="26">
                  <c:v>57</c:v>
                </c:pt>
                <c:pt idx="27">
                  <c:v>72</c:v>
                </c:pt>
                <c:pt idx="28">
                  <c:v>210</c:v>
                </c:pt>
                <c:pt idx="29">
                  <c:v>432</c:v>
                </c:pt>
                <c:pt idx="30">
                  <c:v>189</c:v>
                </c:pt>
                <c:pt idx="31">
                  <c:v>303</c:v>
                </c:pt>
                <c:pt idx="32">
                  <c:v>492</c:v>
                </c:pt>
                <c:pt idx="33">
                  <c:v>42</c:v>
                </c:pt>
                <c:pt idx="34">
                  <c:v>75</c:v>
                </c:pt>
                <c:pt idx="35">
                  <c:v>456</c:v>
                </c:pt>
                <c:pt idx="36">
                  <c:v>174</c:v>
                </c:pt>
                <c:pt idx="37">
                  <c:v>243</c:v>
                </c:pt>
                <c:pt idx="38">
                  <c:v>81</c:v>
                </c:pt>
                <c:pt idx="39">
                  <c:v>504</c:v>
                </c:pt>
                <c:pt idx="40">
                  <c:v>213</c:v>
                </c:pt>
                <c:pt idx="41">
                  <c:v>45</c:v>
                </c:pt>
                <c:pt idx="42">
                  <c:v>216</c:v>
                </c:pt>
                <c:pt idx="43">
                  <c:v>327</c:v>
                </c:pt>
                <c:pt idx="44">
                  <c:v>96</c:v>
                </c:pt>
                <c:pt idx="45">
                  <c:v>276</c:v>
                </c:pt>
                <c:pt idx="46">
                  <c:v>54</c:v>
                </c:pt>
                <c:pt idx="47">
                  <c:v>183</c:v>
                </c:pt>
                <c:pt idx="48">
                  <c:v>126</c:v>
                </c:pt>
                <c:pt idx="49">
                  <c:v>372</c:v>
                </c:pt>
                <c:pt idx="50">
                  <c:v>6</c:v>
                </c:pt>
                <c:pt idx="51">
                  <c:v>252</c:v>
                </c:pt>
                <c:pt idx="52">
                  <c:v>459</c:v>
                </c:pt>
                <c:pt idx="53">
                  <c:v>225</c:v>
                </c:pt>
                <c:pt idx="54">
                  <c:v>78</c:v>
                </c:pt>
                <c:pt idx="55">
                  <c:v>102</c:v>
                </c:pt>
                <c:pt idx="56">
                  <c:v>15</c:v>
                </c:pt>
                <c:pt idx="57">
                  <c:v>237</c:v>
                </c:pt>
                <c:pt idx="58">
                  <c:v>63</c:v>
                </c:pt>
                <c:pt idx="59">
                  <c:v>93</c:v>
                </c:pt>
                <c:pt idx="60">
                  <c:v>9</c:v>
                </c:pt>
                <c:pt idx="61">
                  <c:v>3</c:v>
                </c:pt>
                <c:pt idx="62">
                  <c:v>144</c:v>
                </c:pt>
                <c:pt idx="63">
                  <c:v>12</c:v>
                </c:pt>
                <c:pt idx="64">
                  <c:v>258</c:v>
                </c:pt>
                <c:pt idx="65">
                  <c:v>297</c:v>
                </c:pt>
                <c:pt idx="66">
                  <c:v>525</c:v>
                </c:pt>
                <c:pt idx="67">
                  <c:v>0</c:v>
                </c:pt>
                <c:pt idx="68">
                  <c:v>156</c:v>
                </c:pt>
                <c:pt idx="69">
                  <c:v>171</c:v>
                </c:pt>
                <c:pt idx="70">
                  <c:v>279</c:v>
                </c:pt>
                <c:pt idx="71">
                  <c:v>69</c:v>
                </c:pt>
                <c:pt idx="72">
                  <c:v>300</c:v>
                </c:pt>
                <c:pt idx="73">
                  <c:v>246</c:v>
                </c:pt>
                <c:pt idx="74">
                  <c:v>324</c:v>
                </c:pt>
                <c:pt idx="75">
                  <c:v>240</c:v>
                </c:pt>
                <c:pt idx="76">
                  <c:v>333</c:v>
                </c:pt>
                <c:pt idx="77">
                  <c:v>111</c:v>
                </c:pt>
                <c:pt idx="78">
                  <c:v>357</c:v>
                </c:pt>
                <c:pt idx="79">
                  <c:v>153</c:v>
                </c:pt>
                <c:pt idx="80">
                  <c:v>348</c:v>
                </c:pt>
                <c:pt idx="81">
                  <c:v>60</c:v>
                </c:pt>
                <c:pt idx="82">
                  <c:v>24</c:v>
                </c:pt>
                <c:pt idx="83">
                  <c:v>306</c:v>
                </c:pt>
                <c:pt idx="84">
                  <c:v>177</c:v>
                </c:pt>
                <c:pt idx="85">
                  <c:v>165</c:v>
                </c:pt>
                <c:pt idx="86">
                  <c:v>366</c:v>
                </c:pt>
                <c:pt idx="87">
                  <c:v>378</c:v>
                </c:pt>
                <c:pt idx="88">
                  <c:v>114</c:v>
                </c:pt>
                <c:pt idx="89">
                  <c:v>363</c:v>
                </c:pt>
                <c:pt idx="90">
                  <c:v>18</c:v>
                </c:pt>
                <c:pt idx="91">
                  <c:v>342</c:v>
                </c:pt>
                <c:pt idx="92">
                  <c:v>99</c:v>
                </c:pt>
                <c:pt idx="93">
                  <c:v>255</c:v>
                </c:pt>
                <c:pt idx="94">
                  <c:v>261</c:v>
                </c:pt>
                <c:pt idx="95">
                  <c:v>447</c:v>
                </c:pt>
                <c:pt idx="96">
                  <c:v>117</c:v>
                </c:pt>
                <c:pt idx="97">
                  <c:v>141</c:v>
                </c:pt>
                <c:pt idx="98">
                  <c:v>186</c:v>
                </c:pt>
                <c:pt idx="99">
                  <c:v>66</c:v>
                </c:pt>
                <c:pt idx="100">
                  <c:v>414</c:v>
                </c:pt>
                <c:pt idx="101">
                  <c:v>219</c:v>
                </c:pt>
                <c:pt idx="102">
                  <c:v>195</c:v>
                </c:pt>
                <c:pt idx="103">
                  <c:v>369</c:v>
                </c:pt>
                <c:pt idx="104">
                  <c:v>192</c:v>
                </c:pt>
                <c:pt idx="105">
                  <c:v>405</c:v>
                </c:pt>
                <c:pt idx="106">
                  <c:v>462</c:v>
                </c:pt>
                <c:pt idx="107">
                  <c:v>270</c:v>
                </c:pt>
                <c:pt idx="108">
                  <c:v>105</c:v>
                </c:pt>
                <c:pt idx="109">
                  <c:v>402</c:v>
                </c:pt>
                <c:pt idx="110">
                  <c:v>282</c:v>
                </c:pt>
                <c:pt idx="111">
                  <c:v>273</c:v>
                </c:pt>
                <c:pt idx="112">
                  <c:v>198</c:v>
                </c:pt>
                <c:pt idx="113">
                  <c:v>147</c:v>
                </c:pt>
                <c:pt idx="114">
                  <c:v>309</c:v>
                </c:pt>
                <c:pt idx="115">
                  <c:v>129</c:v>
                </c:pt>
                <c:pt idx="116">
                  <c:v>510</c:v>
                </c:pt>
                <c:pt idx="117">
                  <c:v>519</c:v>
                </c:pt>
                <c:pt idx="118">
                  <c:v>228</c:v>
                </c:pt>
                <c:pt idx="119">
                  <c:v>249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186F-40CC-8494-5E524FB625C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'6'!$Z$5:$Z$304</c:f>
              <c:numCache>
                <c:formatCode>"$"#,##0_);[Red]\("$"#,##0\)</c:formatCode>
                <c:ptCount val="300"/>
                <c:pt idx="0">
                  <c:v>6111</c:v>
                </c:pt>
                <c:pt idx="1">
                  <c:v>5915</c:v>
                </c:pt>
                <c:pt idx="2">
                  <c:v>3549</c:v>
                </c:pt>
                <c:pt idx="3">
                  <c:v>2989</c:v>
                </c:pt>
                <c:pt idx="4">
                  <c:v>5306</c:v>
                </c:pt>
                <c:pt idx="5">
                  <c:v>6118</c:v>
                </c:pt>
                <c:pt idx="6">
                  <c:v>4991</c:v>
                </c:pt>
                <c:pt idx="7">
                  <c:v>2933</c:v>
                </c:pt>
                <c:pt idx="8">
                  <c:v>2744</c:v>
                </c:pt>
                <c:pt idx="9">
                  <c:v>2408</c:v>
                </c:pt>
                <c:pt idx="10">
                  <c:v>6818</c:v>
                </c:pt>
                <c:pt idx="11">
                  <c:v>2562</c:v>
                </c:pt>
                <c:pt idx="12">
                  <c:v>938</c:v>
                </c:pt>
                <c:pt idx="13">
                  <c:v>15610</c:v>
                </c:pt>
                <c:pt idx="14">
                  <c:v>12348</c:v>
                </c:pt>
                <c:pt idx="15">
                  <c:v>10311</c:v>
                </c:pt>
                <c:pt idx="16">
                  <c:v>11522</c:v>
                </c:pt>
                <c:pt idx="17">
                  <c:v>13391</c:v>
                </c:pt>
                <c:pt idx="18">
                  <c:v>14329</c:v>
                </c:pt>
                <c:pt idx="19">
                  <c:v>11571</c:v>
                </c:pt>
                <c:pt idx="20">
                  <c:v>16184</c:v>
                </c:pt>
                <c:pt idx="21">
                  <c:v>12950</c:v>
                </c:pt>
                <c:pt idx="22">
                  <c:v>11417</c:v>
                </c:pt>
                <c:pt idx="23">
                  <c:v>5586</c:v>
                </c:pt>
                <c:pt idx="24">
                  <c:v>798</c:v>
                </c:pt>
                <c:pt idx="25">
                  <c:v>819</c:v>
                </c:pt>
                <c:pt idx="26">
                  <c:v>7777</c:v>
                </c:pt>
                <c:pt idx="27">
                  <c:v>8463</c:v>
                </c:pt>
                <c:pt idx="28">
                  <c:v>1785</c:v>
                </c:pt>
                <c:pt idx="29">
                  <c:v>6706</c:v>
                </c:pt>
                <c:pt idx="30">
                  <c:v>3556</c:v>
                </c:pt>
                <c:pt idx="31">
                  <c:v>8008</c:v>
                </c:pt>
                <c:pt idx="32">
                  <c:v>2275</c:v>
                </c:pt>
                <c:pt idx="33">
                  <c:v>8869</c:v>
                </c:pt>
                <c:pt idx="34">
                  <c:v>2100</c:v>
                </c:pt>
                <c:pt idx="35">
                  <c:v>1904</c:v>
                </c:pt>
                <c:pt idx="36">
                  <c:v>1302</c:v>
                </c:pt>
                <c:pt idx="37">
                  <c:v>3052</c:v>
                </c:pt>
                <c:pt idx="38">
                  <c:v>6853</c:v>
                </c:pt>
                <c:pt idx="39">
                  <c:v>1932</c:v>
                </c:pt>
                <c:pt idx="40">
                  <c:v>3402</c:v>
                </c:pt>
                <c:pt idx="41">
                  <c:v>938</c:v>
                </c:pt>
                <c:pt idx="42">
                  <c:v>2702</c:v>
                </c:pt>
                <c:pt idx="43">
                  <c:v>4480</c:v>
                </c:pt>
                <c:pt idx="44">
                  <c:v>4326</c:v>
                </c:pt>
                <c:pt idx="45">
                  <c:v>3339</c:v>
                </c:pt>
                <c:pt idx="46">
                  <c:v>2471</c:v>
                </c:pt>
                <c:pt idx="47">
                  <c:v>4487</c:v>
                </c:pt>
                <c:pt idx="48">
                  <c:v>7308</c:v>
                </c:pt>
                <c:pt idx="49">
                  <c:v>4592</c:v>
                </c:pt>
                <c:pt idx="50">
                  <c:v>10129</c:v>
                </c:pt>
                <c:pt idx="51">
                  <c:v>3689</c:v>
                </c:pt>
                <c:pt idx="52">
                  <c:v>854</c:v>
                </c:pt>
                <c:pt idx="53">
                  <c:v>3920</c:v>
                </c:pt>
                <c:pt idx="54">
                  <c:v>3164</c:v>
                </c:pt>
                <c:pt idx="55">
                  <c:v>819</c:v>
                </c:pt>
                <c:pt idx="56">
                  <c:v>8841</c:v>
                </c:pt>
                <c:pt idx="57">
                  <c:v>6657</c:v>
                </c:pt>
                <c:pt idx="58">
                  <c:v>1589</c:v>
                </c:pt>
                <c:pt idx="59">
                  <c:v>4753</c:v>
                </c:pt>
                <c:pt idx="60">
                  <c:v>2870</c:v>
                </c:pt>
                <c:pt idx="61">
                  <c:v>5670</c:v>
                </c:pt>
                <c:pt idx="62">
                  <c:v>9632</c:v>
                </c:pt>
                <c:pt idx="63">
                  <c:v>5194</c:v>
                </c:pt>
                <c:pt idx="64">
                  <c:v>3507</c:v>
                </c:pt>
                <c:pt idx="65">
                  <c:v>245</c:v>
                </c:pt>
                <c:pt idx="66">
                  <c:v>1134</c:v>
                </c:pt>
                <c:pt idx="67">
                  <c:v>4858</c:v>
                </c:pt>
                <c:pt idx="68">
                  <c:v>3808</c:v>
                </c:pt>
                <c:pt idx="69">
                  <c:v>7259</c:v>
                </c:pt>
                <c:pt idx="70">
                  <c:v>6657</c:v>
                </c:pt>
                <c:pt idx="71">
                  <c:v>1085</c:v>
                </c:pt>
                <c:pt idx="72">
                  <c:v>1778</c:v>
                </c:pt>
                <c:pt idx="73">
                  <c:v>1071</c:v>
                </c:pt>
                <c:pt idx="74">
                  <c:v>2317</c:v>
                </c:pt>
                <c:pt idx="75">
                  <c:v>5677</c:v>
                </c:pt>
                <c:pt idx="76">
                  <c:v>2415</c:v>
                </c:pt>
                <c:pt idx="77">
                  <c:v>6755</c:v>
                </c:pt>
                <c:pt idx="78">
                  <c:v>5551</c:v>
                </c:pt>
                <c:pt idx="79">
                  <c:v>385</c:v>
                </c:pt>
                <c:pt idx="80">
                  <c:v>4753</c:v>
                </c:pt>
                <c:pt idx="81">
                  <c:v>4438</c:v>
                </c:pt>
                <c:pt idx="82">
                  <c:v>3094</c:v>
                </c:pt>
                <c:pt idx="83">
                  <c:v>2856</c:v>
                </c:pt>
                <c:pt idx="84">
                  <c:v>7833</c:v>
                </c:pt>
                <c:pt idx="85">
                  <c:v>4585</c:v>
                </c:pt>
                <c:pt idx="86">
                  <c:v>1526</c:v>
                </c:pt>
                <c:pt idx="87">
                  <c:v>6279</c:v>
                </c:pt>
                <c:pt idx="88">
                  <c:v>2464</c:v>
                </c:pt>
                <c:pt idx="89">
                  <c:v>1701</c:v>
                </c:pt>
                <c:pt idx="90">
                  <c:v>714</c:v>
                </c:pt>
                <c:pt idx="91">
                  <c:v>567</c:v>
                </c:pt>
                <c:pt idx="92">
                  <c:v>6608</c:v>
                </c:pt>
                <c:pt idx="93">
                  <c:v>3101</c:v>
                </c:pt>
                <c:pt idx="94">
                  <c:v>1274</c:v>
                </c:pt>
                <c:pt idx="95">
                  <c:v>2009</c:v>
                </c:pt>
                <c:pt idx="96">
                  <c:v>7455</c:v>
                </c:pt>
                <c:pt idx="97">
                  <c:v>7651</c:v>
                </c:pt>
                <c:pt idx="98">
                  <c:v>3752</c:v>
                </c:pt>
                <c:pt idx="99">
                  <c:v>8890</c:v>
                </c:pt>
                <c:pt idx="100">
                  <c:v>5012</c:v>
                </c:pt>
                <c:pt idx="101">
                  <c:v>9835</c:v>
                </c:pt>
                <c:pt idx="102">
                  <c:v>4242</c:v>
                </c:pt>
                <c:pt idx="103">
                  <c:v>259</c:v>
                </c:pt>
                <c:pt idx="104">
                  <c:v>5355</c:v>
                </c:pt>
                <c:pt idx="105">
                  <c:v>2639</c:v>
                </c:pt>
                <c:pt idx="106">
                  <c:v>1771</c:v>
                </c:pt>
                <c:pt idx="107">
                  <c:v>98</c:v>
                </c:pt>
                <c:pt idx="108">
                  <c:v>9926</c:v>
                </c:pt>
                <c:pt idx="109">
                  <c:v>7280</c:v>
                </c:pt>
                <c:pt idx="110">
                  <c:v>4424</c:v>
                </c:pt>
                <c:pt idx="111">
                  <c:v>966</c:v>
                </c:pt>
                <c:pt idx="112">
                  <c:v>1974</c:v>
                </c:pt>
                <c:pt idx="113">
                  <c:v>1890</c:v>
                </c:pt>
                <c:pt idx="114">
                  <c:v>861</c:v>
                </c:pt>
                <c:pt idx="115">
                  <c:v>1925</c:v>
                </c:pt>
                <c:pt idx="116">
                  <c:v>8862</c:v>
                </c:pt>
                <c:pt idx="117">
                  <c:v>4949</c:v>
                </c:pt>
                <c:pt idx="118">
                  <c:v>2954</c:v>
                </c:pt>
                <c:pt idx="119">
                  <c:v>938</c:v>
                </c:pt>
                <c:pt idx="120">
                  <c:v>2114</c:v>
                </c:pt>
                <c:pt idx="121">
                  <c:v>7021</c:v>
                </c:pt>
                <c:pt idx="122">
                  <c:v>6580</c:v>
                </c:pt>
                <c:pt idx="123">
                  <c:v>3864</c:v>
                </c:pt>
                <c:pt idx="124">
                  <c:v>2646</c:v>
                </c:pt>
                <c:pt idx="125">
                  <c:v>2324</c:v>
                </c:pt>
                <c:pt idx="126">
                  <c:v>7847</c:v>
                </c:pt>
                <c:pt idx="127">
                  <c:v>6118</c:v>
                </c:pt>
                <c:pt idx="128">
                  <c:v>4725</c:v>
                </c:pt>
                <c:pt idx="129">
                  <c:v>707</c:v>
                </c:pt>
                <c:pt idx="130">
                  <c:v>4956</c:v>
                </c:pt>
                <c:pt idx="131">
                  <c:v>4018</c:v>
                </c:pt>
                <c:pt idx="132">
                  <c:v>5474</c:v>
                </c:pt>
                <c:pt idx="133">
                  <c:v>2023</c:v>
                </c:pt>
                <c:pt idx="134">
                  <c:v>21</c:v>
                </c:pt>
                <c:pt idx="135">
                  <c:v>3773</c:v>
                </c:pt>
                <c:pt idx="136">
                  <c:v>9443</c:v>
                </c:pt>
                <c:pt idx="137">
                  <c:v>4018</c:v>
                </c:pt>
                <c:pt idx="138">
                  <c:v>973</c:v>
                </c:pt>
                <c:pt idx="139">
                  <c:v>3794</c:v>
                </c:pt>
                <c:pt idx="140">
                  <c:v>98</c:v>
                </c:pt>
                <c:pt idx="141">
                  <c:v>5019</c:v>
                </c:pt>
                <c:pt idx="142">
                  <c:v>4970</c:v>
                </c:pt>
                <c:pt idx="143">
                  <c:v>4305</c:v>
                </c:pt>
                <c:pt idx="144">
                  <c:v>4417</c:v>
                </c:pt>
                <c:pt idx="145">
                  <c:v>5019</c:v>
                </c:pt>
                <c:pt idx="146">
                  <c:v>3759</c:v>
                </c:pt>
                <c:pt idx="147">
                  <c:v>42</c:v>
                </c:pt>
                <c:pt idx="148">
                  <c:v>959</c:v>
                </c:pt>
                <c:pt idx="149">
                  <c:v>6027</c:v>
                </c:pt>
                <c:pt idx="150">
                  <c:v>3983</c:v>
                </c:pt>
                <c:pt idx="151">
                  <c:v>2429</c:v>
                </c:pt>
                <c:pt idx="152">
                  <c:v>336</c:v>
                </c:pt>
                <c:pt idx="153">
                  <c:v>2205</c:v>
                </c:pt>
                <c:pt idx="154">
                  <c:v>1568</c:v>
                </c:pt>
                <c:pt idx="155">
                  <c:v>2205</c:v>
                </c:pt>
                <c:pt idx="156">
                  <c:v>2289</c:v>
                </c:pt>
                <c:pt idx="157">
                  <c:v>1400</c:v>
                </c:pt>
                <c:pt idx="158">
                  <c:v>959</c:v>
                </c:pt>
                <c:pt idx="159">
                  <c:v>0</c:v>
                </c:pt>
                <c:pt idx="160">
                  <c:v>847</c:v>
                </c:pt>
                <c:pt idx="161">
                  <c:v>6860</c:v>
                </c:pt>
                <c:pt idx="162">
                  <c:v>4935</c:v>
                </c:pt>
                <c:pt idx="163">
                  <c:v>4018</c:v>
                </c:pt>
                <c:pt idx="164">
                  <c:v>1617</c:v>
                </c:pt>
                <c:pt idx="165">
                  <c:v>357</c:v>
                </c:pt>
                <c:pt idx="166">
                  <c:v>6734</c:v>
                </c:pt>
                <c:pt idx="167">
                  <c:v>4781</c:v>
                </c:pt>
                <c:pt idx="168">
                  <c:v>3388</c:v>
                </c:pt>
                <c:pt idx="169">
                  <c:v>2317</c:v>
                </c:pt>
                <c:pt idx="170">
                  <c:v>63</c:v>
                </c:pt>
                <c:pt idx="171">
                  <c:v>10073</c:v>
                </c:pt>
                <c:pt idx="172">
                  <c:v>7511</c:v>
                </c:pt>
                <c:pt idx="173">
                  <c:v>2646</c:v>
                </c:pt>
                <c:pt idx="174">
                  <c:v>2212</c:v>
                </c:pt>
                <c:pt idx="175">
                  <c:v>2149</c:v>
                </c:pt>
                <c:pt idx="176">
                  <c:v>2016</c:v>
                </c:pt>
                <c:pt idx="177">
                  <c:v>2793</c:v>
                </c:pt>
                <c:pt idx="178">
                  <c:v>2142</c:v>
                </c:pt>
                <c:pt idx="179">
                  <c:v>1624</c:v>
                </c:pt>
                <c:pt idx="180">
                  <c:v>4487</c:v>
                </c:pt>
                <c:pt idx="181">
                  <c:v>1526</c:v>
                </c:pt>
                <c:pt idx="182">
                  <c:v>6398</c:v>
                </c:pt>
                <c:pt idx="183">
                  <c:v>6125</c:v>
                </c:pt>
                <c:pt idx="184">
                  <c:v>3850</c:v>
                </c:pt>
                <c:pt idx="185">
                  <c:v>2891</c:v>
                </c:pt>
                <c:pt idx="186">
                  <c:v>1652</c:v>
                </c:pt>
                <c:pt idx="187">
                  <c:v>1505</c:v>
                </c:pt>
                <c:pt idx="188">
                  <c:v>2436</c:v>
                </c:pt>
                <c:pt idx="189">
                  <c:v>609</c:v>
                </c:pt>
                <c:pt idx="190">
                  <c:v>7273</c:v>
                </c:pt>
                <c:pt idx="191">
                  <c:v>3472</c:v>
                </c:pt>
                <c:pt idx="192">
                  <c:v>1568</c:v>
                </c:pt>
                <c:pt idx="193">
                  <c:v>6132</c:v>
                </c:pt>
                <c:pt idx="194">
                  <c:v>2919</c:v>
                </c:pt>
                <c:pt idx="195">
                  <c:v>2737</c:v>
                </c:pt>
                <c:pt idx="196">
                  <c:v>1652</c:v>
                </c:pt>
                <c:pt idx="197">
                  <c:v>1428</c:v>
                </c:pt>
                <c:pt idx="198">
                  <c:v>9772</c:v>
                </c:pt>
                <c:pt idx="199">
                  <c:v>8155</c:v>
                </c:pt>
                <c:pt idx="200">
                  <c:v>2541</c:v>
                </c:pt>
                <c:pt idx="201">
                  <c:v>9506</c:v>
                </c:pt>
                <c:pt idx="202">
                  <c:v>7693</c:v>
                </c:pt>
                <c:pt idx="203">
                  <c:v>700</c:v>
                </c:pt>
                <c:pt idx="204">
                  <c:v>609</c:v>
                </c:pt>
                <c:pt idx="205">
                  <c:v>434</c:v>
                </c:pt>
                <c:pt idx="206">
                  <c:v>280</c:v>
                </c:pt>
                <c:pt idx="207">
                  <c:v>10304</c:v>
                </c:pt>
                <c:pt idx="208">
                  <c:v>490</c:v>
                </c:pt>
                <c:pt idx="209">
                  <c:v>168</c:v>
                </c:pt>
                <c:pt idx="210">
                  <c:v>7812</c:v>
                </c:pt>
                <c:pt idx="211">
                  <c:v>6909</c:v>
                </c:pt>
                <c:pt idx="212">
                  <c:v>3598</c:v>
                </c:pt>
                <c:pt idx="213">
                  <c:v>560</c:v>
                </c:pt>
                <c:pt idx="214">
                  <c:v>6433</c:v>
                </c:pt>
                <c:pt idx="215">
                  <c:v>2023</c:v>
                </c:pt>
                <c:pt idx="216">
                  <c:v>8211</c:v>
                </c:pt>
                <c:pt idx="217">
                  <c:v>3339</c:v>
                </c:pt>
                <c:pt idx="218">
                  <c:v>3262</c:v>
                </c:pt>
                <c:pt idx="219">
                  <c:v>2779</c:v>
                </c:pt>
                <c:pt idx="220">
                  <c:v>2219</c:v>
                </c:pt>
                <c:pt idx="221">
                  <c:v>1281</c:v>
                </c:pt>
                <c:pt idx="222">
                  <c:v>945</c:v>
                </c:pt>
                <c:pt idx="223">
                  <c:v>518</c:v>
                </c:pt>
                <c:pt idx="224">
                  <c:v>469</c:v>
                </c:pt>
                <c:pt idx="225">
                  <c:v>9002</c:v>
                </c:pt>
                <c:pt idx="226">
                  <c:v>3976</c:v>
                </c:pt>
                <c:pt idx="227">
                  <c:v>3192</c:v>
                </c:pt>
                <c:pt idx="228">
                  <c:v>1407</c:v>
                </c:pt>
                <c:pt idx="229">
                  <c:v>4760</c:v>
                </c:pt>
                <c:pt idx="230">
                  <c:v>2114</c:v>
                </c:pt>
                <c:pt idx="231">
                  <c:v>6146</c:v>
                </c:pt>
                <c:pt idx="232">
                  <c:v>4606</c:v>
                </c:pt>
                <c:pt idx="233">
                  <c:v>2268</c:v>
                </c:pt>
                <c:pt idx="234">
                  <c:v>1638</c:v>
                </c:pt>
                <c:pt idx="235">
                  <c:v>497</c:v>
                </c:pt>
                <c:pt idx="236">
                  <c:v>4137</c:v>
                </c:pt>
                <c:pt idx="237">
                  <c:v>9051</c:v>
                </c:pt>
                <c:pt idx="238">
                  <c:v>7189</c:v>
                </c:pt>
                <c:pt idx="239">
                  <c:v>6454</c:v>
                </c:pt>
                <c:pt idx="240">
                  <c:v>3108</c:v>
                </c:pt>
                <c:pt idx="241">
                  <c:v>2681</c:v>
                </c:pt>
                <c:pt idx="242">
                  <c:v>1057</c:v>
                </c:pt>
                <c:pt idx="243">
                  <c:v>252</c:v>
                </c:pt>
                <c:pt idx="244">
                  <c:v>5236</c:v>
                </c:pt>
                <c:pt idx="245">
                  <c:v>3640</c:v>
                </c:pt>
                <c:pt idx="246">
                  <c:v>623</c:v>
                </c:pt>
                <c:pt idx="247">
                  <c:v>56</c:v>
                </c:pt>
                <c:pt idx="248">
                  <c:v>6748</c:v>
                </c:pt>
                <c:pt idx="249">
                  <c:v>6391</c:v>
                </c:pt>
                <c:pt idx="250">
                  <c:v>2226</c:v>
                </c:pt>
                <c:pt idx="251">
                  <c:v>1638</c:v>
                </c:pt>
                <c:pt idx="252">
                  <c:v>525</c:v>
                </c:pt>
                <c:pt idx="253">
                  <c:v>189</c:v>
                </c:pt>
                <c:pt idx="254">
                  <c:v>182</c:v>
                </c:pt>
                <c:pt idx="255">
                  <c:v>7483</c:v>
                </c:pt>
                <c:pt idx="256">
                  <c:v>6279</c:v>
                </c:pt>
                <c:pt idx="257">
                  <c:v>2919</c:v>
                </c:pt>
                <c:pt idx="258">
                  <c:v>2541</c:v>
                </c:pt>
                <c:pt idx="259">
                  <c:v>8435</c:v>
                </c:pt>
                <c:pt idx="260">
                  <c:v>6300</c:v>
                </c:pt>
                <c:pt idx="261">
                  <c:v>5775</c:v>
                </c:pt>
                <c:pt idx="262">
                  <c:v>2863</c:v>
                </c:pt>
                <c:pt idx="263">
                  <c:v>7777</c:v>
                </c:pt>
                <c:pt idx="264">
                  <c:v>3339</c:v>
                </c:pt>
                <c:pt idx="265">
                  <c:v>1988</c:v>
                </c:pt>
                <c:pt idx="266">
                  <c:v>1463</c:v>
                </c:pt>
                <c:pt idx="267">
                  <c:v>9198</c:v>
                </c:pt>
                <c:pt idx="268">
                  <c:v>7322</c:v>
                </c:pt>
                <c:pt idx="269">
                  <c:v>4802</c:v>
                </c:pt>
                <c:pt idx="270">
                  <c:v>630</c:v>
                </c:pt>
                <c:pt idx="271">
                  <c:v>217</c:v>
                </c:pt>
                <c:pt idx="272">
                  <c:v>9709</c:v>
                </c:pt>
                <c:pt idx="273">
                  <c:v>6370</c:v>
                </c:pt>
                <c:pt idx="274">
                  <c:v>5439</c:v>
                </c:pt>
                <c:pt idx="275">
                  <c:v>4683</c:v>
                </c:pt>
                <c:pt idx="276">
                  <c:v>4319</c:v>
                </c:pt>
                <c:pt idx="277">
                  <c:v>9660</c:v>
                </c:pt>
                <c:pt idx="278">
                  <c:v>6832</c:v>
                </c:pt>
                <c:pt idx="279">
                  <c:v>6048</c:v>
                </c:pt>
                <c:pt idx="280">
                  <c:v>3059</c:v>
                </c:pt>
                <c:pt idx="281">
                  <c:v>2135</c:v>
                </c:pt>
                <c:pt idx="282">
                  <c:v>1561</c:v>
                </c:pt>
                <c:pt idx="283">
                  <c:v>4053</c:v>
                </c:pt>
                <c:pt idx="284">
                  <c:v>3829</c:v>
                </c:pt>
                <c:pt idx="285">
                  <c:v>8813</c:v>
                </c:pt>
                <c:pt idx="286">
                  <c:v>7693</c:v>
                </c:pt>
                <c:pt idx="287">
                  <c:v>6986</c:v>
                </c:pt>
                <c:pt idx="288">
                  <c:v>5075</c:v>
                </c:pt>
                <c:pt idx="289">
                  <c:v>2478</c:v>
                </c:pt>
                <c:pt idx="290">
                  <c:v>154</c:v>
                </c:pt>
                <c:pt idx="291">
                  <c:v>2583</c:v>
                </c:pt>
                <c:pt idx="292">
                  <c:v>1281</c:v>
                </c:pt>
                <c:pt idx="293">
                  <c:v>238</c:v>
                </c:pt>
                <c:pt idx="294">
                  <c:v>6314</c:v>
                </c:pt>
                <c:pt idx="295">
                  <c:v>2415</c:v>
                </c:pt>
                <c:pt idx="296">
                  <c:v>1442</c:v>
                </c:pt>
                <c:pt idx="297">
                  <c:v>553</c:v>
                </c:pt>
                <c:pt idx="298">
                  <c:v>5817</c:v>
                </c:pt>
                <c:pt idx="299">
                  <c:v>4991</c:v>
                </c:pt>
              </c:numCache>
            </c:numRef>
          </c:xVal>
          <c:yVal>
            <c:numRef>
              <c:f>'6'!$AA$5:$AA$304</c:f>
              <c:numCache>
                <c:formatCode>#,##0</c:formatCode>
                <c:ptCount val="300"/>
                <c:pt idx="0">
                  <c:v>3</c:v>
                </c:pt>
                <c:pt idx="1">
                  <c:v>3</c:v>
                </c:pt>
                <c:pt idx="2">
                  <c:v>3</c:v>
                </c:pt>
                <c:pt idx="3">
                  <c:v>3</c:v>
                </c:pt>
                <c:pt idx="4">
                  <c:v>0</c:v>
                </c:pt>
                <c:pt idx="5">
                  <c:v>9</c:v>
                </c:pt>
                <c:pt idx="6">
                  <c:v>9</c:v>
                </c:pt>
                <c:pt idx="7">
                  <c:v>9</c:v>
                </c:pt>
                <c:pt idx="8">
                  <c:v>9</c:v>
                </c:pt>
                <c:pt idx="9">
                  <c:v>9</c:v>
                </c:pt>
                <c:pt idx="10">
                  <c:v>6</c:v>
                </c:pt>
                <c:pt idx="11">
                  <c:v>6</c:v>
                </c:pt>
                <c:pt idx="12">
                  <c:v>6</c:v>
                </c:pt>
                <c:pt idx="13">
                  <c:v>339</c:v>
                </c:pt>
                <c:pt idx="14">
                  <c:v>234</c:v>
                </c:pt>
                <c:pt idx="15">
                  <c:v>231</c:v>
                </c:pt>
                <c:pt idx="16">
                  <c:v>204</c:v>
                </c:pt>
                <c:pt idx="17">
                  <c:v>201</c:v>
                </c:pt>
                <c:pt idx="18">
                  <c:v>150</c:v>
                </c:pt>
                <c:pt idx="19">
                  <c:v>138</c:v>
                </c:pt>
                <c:pt idx="20">
                  <c:v>39</c:v>
                </c:pt>
                <c:pt idx="21">
                  <c:v>30</c:v>
                </c:pt>
                <c:pt idx="22">
                  <c:v>21</c:v>
                </c:pt>
                <c:pt idx="23">
                  <c:v>525</c:v>
                </c:pt>
                <c:pt idx="24">
                  <c:v>519</c:v>
                </c:pt>
                <c:pt idx="25">
                  <c:v>510</c:v>
                </c:pt>
                <c:pt idx="26">
                  <c:v>504</c:v>
                </c:pt>
                <c:pt idx="27">
                  <c:v>492</c:v>
                </c:pt>
                <c:pt idx="28">
                  <c:v>462</c:v>
                </c:pt>
                <c:pt idx="29">
                  <c:v>459</c:v>
                </c:pt>
                <c:pt idx="30">
                  <c:v>459</c:v>
                </c:pt>
                <c:pt idx="31">
                  <c:v>456</c:v>
                </c:pt>
                <c:pt idx="32">
                  <c:v>447</c:v>
                </c:pt>
                <c:pt idx="33">
                  <c:v>432</c:v>
                </c:pt>
                <c:pt idx="34">
                  <c:v>414</c:v>
                </c:pt>
                <c:pt idx="35">
                  <c:v>405</c:v>
                </c:pt>
                <c:pt idx="36">
                  <c:v>402</c:v>
                </c:pt>
                <c:pt idx="37">
                  <c:v>378</c:v>
                </c:pt>
                <c:pt idx="38">
                  <c:v>372</c:v>
                </c:pt>
                <c:pt idx="39">
                  <c:v>369</c:v>
                </c:pt>
                <c:pt idx="40">
                  <c:v>366</c:v>
                </c:pt>
                <c:pt idx="41">
                  <c:v>366</c:v>
                </c:pt>
                <c:pt idx="42">
                  <c:v>363</c:v>
                </c:pt>
                <c:pt idx="43">
                  <c:v>357</c:v>
                </c:pt>
                <c:pt idx="44">
                  <c:v>348</c:v>
                </c:pt>
                <c:pt idx="45">
                  <c:v>348</c:v>
                </c:pt>
                <c:pt idx="46">
                  <c:v>342</c:v>
                </c:pt>
                <c:pt idx="47">
                  <c:v>333</c:v>
                </c:pt>
                <c:pt idx="48">
                  <c:v>327</c:v>
                </c:pt>
                <c:pt idx="49">
                  <c:v>324</c:v>
                </c:pt>
                <c:pt idx="50">
                  <c:v>312</c:v>
                </c:pt>
                <c:pt idx="51">
                  <c:v>312</c:v>
                </c:pt>
                <c:pt idx="52">
                  <c:v>309</c:v>
                </c:pt>
                <c:pt idx="53">
                  <c:v>306</c:v>
                </c:pt>
                <c:pt idx="54">
                  <c:v>306</c:v>
                </c:pt>
                <c:pt idx="55">
                  <c:v>306</c:v>
                </c:pt>
                <c:pt idx="56">
                  <c:v>303</c:v>
                </c:pt>
                <c:pt idx="57">
                  <c:v>303</c:v>
                </c:pt>
                <c:pt idx="58">
                  <c:v>303</c:v>
                </c:pt>
                <c:pt idx="59">
                  <c:v>300</c:v>
                </c:pt>
                <c:pt idx="60">
                  <c:v>300</c:v>
                </c:pt>
                <c:pt idx="61">
                  <c:v>297</c:v>
                </c:pt>
                <c:pt idx="62">
                  <c:v>288</c:v>
                </c:pt>
                <c:pt idx="63">
                  <c:v>288</c:v>
                </c:pt>
                <c:pt idx="64">
                  <c:v>288</c:v>
                </c:pt>
                <c:pt idx="65">
                  <c:v>288</c:v>
                </c:pt>
                <c:pt idx="66">
                  <c:v>282</c:v>
                </c:pt>
                <c:pt idx="67">
                  <c:v>279</c:v>
                </c:pt>
                <c:pt idx="68">
                  <c:v>279</c:v>
                </c:pt>
                <c:pt idx="69">
                  <c:v>276</c:v>
                </c:pt>
                <c:pt idx="70">
                  <c:v>276</c:v>
                </c:pt>
                <c:pt idx="71">
                  <c:v>273</c:v>
                </c:pt>
                <c:pt idx="72">
                  <c:v>270</c:v>
                </c:pt>
                <c:pt idx="73">
                  <c:v>270</c:v>
                </c:pt>
                <c:pt idx="74">
                  <c:v>261</c:v>
                </c:pt>
                <c:pt idx="75">
                  <c:v>258</c:v>
                </c:pt>
                <c:pt idx="76">
                  <c:v>255</c:v>
                </c:pt>
                <c:pt idx="77">
                  <c:v>252</c:v>
                </c:pt>
                <c:pt idx="78">
                  <c:v>252</c:v>
                </c:pt>
                <c:pt idx="79">
                  <c:v>249</c:v>
                </c:pt>
                <c:pt idx="80">
                  <c:v>246</c:v>
                </c:pt>
                <c:pt idx="81">
                  <c:v>246</c:v>
                </c:pt>
                <c:pt idx="82">
                  <c:v>246</c:v>
                </c:pt>
                <c:pt idx="83">
                  <c:v>246</c:v>
                </c:pt>
                <c:pt idx="84">
                  <c:v>243</c:v>
                </c:pt>
                <c:pt idx="85">
                  <c:v>240</c:v>
                </c:pt>
                <c:pt idx="86">
                  <c:v>240</c:v>
                </c:pt>
                <c:pt idx="87">
                  <c:v>237</c:v>
                </c:pt>
                <c:pt idx="88">
                  <c:v>234</c:v>
                </c:pt>
                <c:pt idx="89">
                  <c:v>234</c:v>
                </c:pt>
                <c:pt idx="90">
                  <c:v>231</c:v>
                </c:pt>
                <c:pt idx="91">
                  <c:v>228</c:v>
                </c:pt>
                <c:pt idx="92">
                  <c:v>225</c:v>
                </c:pt>
                <c:pt idx="93">
                  <c:v>225</c:v>
                </c:pt>
                <c:pt idx="94">
                  <c:v>225</c:v>
                </c:pt>
                <c:pt idx="95">
                  <c:v>219</c:v>
                </c:pt>
                <c:pt idx="96">
                  <c:v>216</c:v>
                </c:pt>
                <c:pt idx="97">
                  <c:v>213</c:v>
                </c:pt>
                <c:pt idx="98">
                  <c:v>213</c:v>
                </c:pt>
                <c:pt idx="99">
                  <c:v>210</c:v>
                </c:pt>
                <c:pt idx="100">
                  <c:v>210</c:v>
                </c:pt>
                <c:pt idx="101">
                  <c:v>207</c:v>
                </c:pt>
                <c:pt idx="102">
                  <c:v>207</c:v>
                </c:pt>
                <c:pt idx="103">
                  <c:v>207</c:v>
                </c:pt>
                <c:pt idx="104">
                  <c:v>204</c:v>
                </c:pt>
                <c:pt idx="105">
                  <c:v>204</c:v>
                </c:pt>
                <c:pt idx="106">
                  <c:v>204</c:v>
                </c:pt>
                <c:pt idx="107">
                  <c:v>204</c:v>
                </c:pt>
                <c:pt idx="108">
                  <c:v>201</c:v>
                </c:pt>
                <c:pt idx="109">
                  <c:v>201</c:v>
                </c:pt>
                <c:pt idx="110">
                  <c:v>201</c:v>
                </c:pt>
                <c:pt idx="111">
                  <c:v>198</c:v>
                </c:pt>
                <c:pt idx="112">
                  <c:v>195</c:v>
                </c:pt>
                <c:pt idx="113">
                  <c:v>195</c:v>
                </c:pt>
                <c:pt idx="114">
                  <c:v>195</c:v>
                </c:pt>
                <c:pt idx="115">
                  <c:v>192</c:v>
                </c:pt>
                <c:pt idx="116">
                  <c:v>189</c:v>
                </c:pt>
                <c:pt idx="117">
                  <c:v>189</c:v>
                </c:pt>
                <c:pt idx="118">
                  <c:v>189</c:v>
                </c:pt>
                <c:pt idx="119">
                  <c:v>189</c:v>
                </c:pt>
                <c:pt idx="120">
                  <c:v>186</c:v>
                </c:pt>
                <c:pt idx="121">
                  <c:v>183</c:v>
                </c:pt>
                <c:pt idx="122">
                  <c:v>183</c:v>
                </c:pt>
                <c:pt idx="123">
                  <c:v>177</c:v>
                </c:pt>
                <c:pt idx="124">
                  <c:v>177</c:v>
                </c:pt>
                <c:pt idx="125">
                  <c:v>177</c:v>
                </c:pt>
                <c:pt idx="126">
                  <c:v>174</c:v>
                </c:pt>
                <c:pt idx="127">
                  <c:v>174</c:v>
                </c:pt>
                <c:pt idx="128">
                  <c:v>174</c:v>
                </c:pt>
                <c:pt idx="129">
                  <c:v>174</c:v>
                </c:pt>
                <c:pt idx="130">
                  <c:v>171</c:v>
                </c:pt>
                <c:pt idx="131">
                  <c:v>171</c:v>
                </c:pt>
                <c:pt idx="132">
                  <c:v>168</c:v>
                </c:pt>
                <c:pt idx="133">
                  <c:v>168</c:v>
                </c:pt>
                <c:pt idx="134">
                  <c:v>168</c:v>
                </c:pt>
                <c:pt idx="135">
                  <c:v>165</c:v>
                </c:pt>
                <c:pt idx="136">
                  <c:v>162</c:v>
                </c:pt>
                <c:pt idx="137">
                  <c:v>162</c:v>
                </c:pt>
                <c:pt idx="138">
                  <c:v>162</c:v>
                </c:pt>
                <c:pt idx="139">
                  <c:v>159</c:v>
                </c:pt>
                <c:pt idx="140">
                  <c:v>159</c:v>
                </c:pt>
                <c:pt idx="141">
                  <c:v>156</c:v>
                </c:pt>
                <c:pt idx="142">
                  <c:v>156</c:v>
                </c:pt>
                <c:pt idx="143">
                  <c:v>156</c:v>
                </c:pt>
                <c:pt idx="144">
                  <c:v>153</c:v>
                </c:pt>
                <c:pt idx="145">
                  <c:v>150</c:v>
                </c:pt>
                <c:pt idx="146">
                  <c:v>150</c:v>
                </c:pt>
                <c:pt idx="147">
                  <c:v>150</c:v>
                </c:pt>
                <c:pt idx="148">
                  <c:v>147</c:v>
                </c:pt>
                <c:pt idx="149">
                  <c:v>144</c:v>
                </c:pt>
                <c:pt idx="150">
                  <c:v>144</c:v>
                </c:pt>
                <c:pt idx="151">
                  <c:v>144</c:v>
                </c:pt>
                <c:pt idx="152">
                  <c:v>144</c:v>
                </c:pt>
                <c:pt idx="153">
                  <c:v>141</c:v>
                </c:pt>
                <c:pt idx="154">
                  <c:v>141</c:v>
                </c:pt>
                <c:pt idx="155">
                  <c:v>138</c:v>
                </c:pt>
                <c:pt idx="156">
                  <c:v>135</c:v>
                </c:pt>
                <c:pt idx="157">
                  <c:v>135</c:v>
                </c:pt>
                <c:pt idx="158">
                  <c:v>135</c:v>
                </c:pt>
                <c:pt idx="159">
                  <c:v>135</c:v>
                </c:pt>
                <c:pt idx="160">
                  <c:v>129</c:v>
                </c:pt>
                <c:pt idx="161">
                  <c:v>126</c:v>
                </c:pt>
                <c:pt idx="162">
                  <c:v>126</c:v>
                </c:pt>
                <c:pt idx="163">
                  <c:v>126</c:v>
                </c:pt>
                <c:pt idx="164">
                  <c:v>126</c:v>
                </c:pt>
                <c:pt idx="165">
                  <c:v>126</c:v>
                </c:pt>
                <c:pt idx="166">
                  <c:v>123</c:v>
                </c:pt>
                <c:pt idx="167">
                  <c:v>123</c:v>
                </c:pt>
                <c:pt idx="168">
                  <c:v>123</c:v>
                </c:pt>
                <c:pt idx="169">
                  <c:v>123</c:v>
                </c:pt>
                <c:pt idx="170">
                  <c:v>123</c:v>
                </c:pt>
                <c:pt idx="171">
                  <c:v>120</c:v>
                </c:pt>
                <c:pt idx="172">
                  <c:v>120</c:v>
                </c:pt>
                <c:pt idx="173">
                  <c:v>120</c:v>
                </c:pt>
                <c:pt idx="174">
                  <c:v>117</c:v>
                </c:pt>
                <c:pt idx="175">
                  <c:v>117</c:v>
                </c:pt>
                <c:pt idx="176">
                  <c:v>117</c:v>
                </c:pt>
                <c:pt idx="177">
                  <c:v>114</c:v>
                </c:pt>
                <c:pt idx="178">
                  <c:v>114</c:v>
                </c:pt>
                <c:pt idx="179">
                  <c:v>114</c:v>
                </c:pt>
                <c:pt idx="180">
                  <c:v>111</c:v>
                </c:pt>
                <c:pt idx="181">
                  <c:v>105</c:v>
                </c:pt>
                <c:pt idx="182">
                  <c:v>102</c:v>
                </c:pt>
                <c:pt idx="183">
                  <c:v>102</c:v>
                </c:pt>
                <c:pt idx="184">
                  <c:v>102</c:v>
                </c:pt>
                <c:pt idx="185">
                  <c:v>102</c:v>
                </c:pt>
                <c:pt idx="186">
                  <c:v>102</c:v>
                </c:pt>
                <c:pt idx="187">
                  <c:v>102</c:v>
                </c:pt>
                <c:pt idx="188">
                  <c:v>99</c:v>
                </c:pt>
                <c:pt idx="189">
                  <c:v>99</c:v>
                </c:pt>
                <c:pt idx="190">
                  <c:v>96</c:v>
                </c:pt>
                <c:pt idx="191">
                  <c:v>96</c:v>
                </c:pt>
                <c:pt idx="192">
                  <c:v>96</c:v>
                </c:pt>
                <c:pt idx="193">
                  <c:v>93</c:v>
                </c:pt>
                <c:pt idx="194">
                  <c:v>93</c:v>
                </c:pt>
                <c:pt idx="195">
                  <c:v>93</c:v>
                </c:pt>
                <c:pt idx="196">
                  <c:v>93</c:v>
                </c:pt>
                <c:pt idx="197">
                  <c:v>93</c:v>
                </c:pt>
                <c:pt idx="198">
                  <c:v>90</c:v>
                </c:pt>
                <c:pt idx="199">
                  <c:v>90</c:v>
                </c:pt>
                <c:pt idx="200">
                  <c:v>90</c:v>
                </c:pt>
                <c:pt idx="201">
                  <c:v>87</c:v>
                </c:pt>
                <c:pt idx="202">
                  <c:v>87</c:v>
                </c:pt>
                <c:pt idx="203">
                  <c:v>87</c:v>
                </c:pt>
                <c:pt idx="204">
                  <c:v>87</c:v>
                </c:pt>
                <c:pt idx="205">
                  <c:v>87</c:v>
                </c:pt>
                <c:pt idx="206">
                  <c:v>87</c:v>
                </c:pt>
                <c:pt idx="207">
                  <c:v>84</c:v>
                </c:pt>
                <c:pt idx="208">
                  <c:v>84</c:v>
                </c:pt>
                <c:pt idx="209">
                  <c:v>84</c:v>
                </c:pt>
                <c:pt idx="210">
                  <c:v>81</c:v>
                </c:pt>
                <c:pt idx="211">
                  <c:v>81</c:v>
                </c:pt>
                <c:pt idx="212">
                  <c:v>81</c:v>
                </c:pt>
                <c:pt idx="213">
                  <c:v>81</c:v>
                </c:pt>
                <c:pt idx="214">
                  <c:v>78</c:v>
                </c:pt>
                <c:pt idx="215">
                  <c:v>78</c:v>
                </c:pt>
                <c:pt idx="216">
                  <c:v>75</c:v>
                </c:pt>
                <c:pt idx="217">
                  <c:v>75</c:v>
                </c:pt>
                <c:pt idx="218">
                  <c:v>75</c:v>
                </c:pt>
                <c:pt idx="219">
                  <c:v>75</c:v>
                </c:pt>
                <c:pt idx="220">
                  <c:v>75</c:v>
                </c:pt>
                <c:pt idx="221">
                  <c:v>75</c:v>
                </c:pt>
                <c:pt idx="222">
                  <c:v>75</c:v>
                </c:pt>
                <c:pt idx="223">
                  <c:v>75</c:v>
                </c:pt>
                <c:pt idx="224">
                  <c:v>75</c:v>
                </c:pt>
                <c:pt idx="225">
                  <c:v>72</c:v>
                </c:pt>
                <c:pt idx="226">
                  <c:v>72</c:v>
                </c:pt>
                <c:pt idx="227">
                  <c:v>72</c:v>
                </c:pt>
                <c:pt idx="228">
                  <c:v>72</c:v>
                </c:pt>
                <c:pt idx="229">
                  <c:v>69</c:v>
                </c:pt>
                <c:pt idx="230">
                  <c:v>66</c:v>
                </c:pt>
                <c:pt idx="231">
                  <c:v>63</c:v>
                </c:pt>
                <c:pt idx="232">
                  <c:v>63</c:v>
                </c:pt>
                <c:pt idx="233">
                  <c:v>63</c:v>
                </c:pt>
                <c:pt idx="234">
                  <c:v>63</c:v>
                </c:pt>
                <c:pt idx="235">
                  <c:v>63</c:v>
                </c:pt>
                <c:pt idx="236">
                  <c:v>60</c:v>
                </c:pt>
                <c:pt idx="237">
                  <c:v>57</c:v>
                </c:pt>
                <c:pt idx="238">
                  <c:v>54</c:v>
                </c:pt>
                <c:pt idx="239">
                  <c:v>54</c:v>
                </c:pt>
                <c:pt idx="240">
                  <c:v>54</c:v>
                </c:pt>
                <c:pt idx="241">
                  <c:v>54</c:v>
                </c:pt>
                <c:pt idx="242">
                  <c:v>54</c:v>
                </c:pt>
                <c:pt idx="243">
                  <c:v>54</c:v>
                </c:pt>
                <c:pt idx="244">
                  <c:v>51</c:v>
                </c:pt>
                <c:pt idx="245">
                  <c:v>51</c:v>
                </c:pt>
                <c:pt idx="246">
                  <c:v>51</c:v>
                </c:pt>
                <c:pt idx="247">
                  <c:v>51</c:v>
                </c:pt>
                <c:pt idx="248">
                  <c:v>48</c:v>
                </c:pt>
                <c:pt idx="249">
                  <c:v>48</c:v>
                </c:pt>
                <c:pt idx="250">
                  <c:v>48</c:v>
                </c:pt>
                <c:pt idx="251">
                  <c:v>48</c:v>
                </c:pt>
                <c:pt idx="252">
                  <c:v>48</c:v>
                </c:pt>
                <c:pt idx="253">
                  <c:v>48</c:v>
                </c:pt>
                <c:pt idx="254">
                  <c:v>48</c:v>
                </c:pt>
                <c:pt idx="255">
                  <c:v>45</c:v>
                </c:pt>
                <c:pt idx="256">
                  <c:v>45</c:v>
                </c:pt>
                <c:pt idx="257">
                  <c:v>45</c:v>
                </c:pt>
                <c:pt idx="258">
                  <c:v>45</c:v>
                </c:pt>
                <c:pt idx="259">
                  <c:v>42</c:v>
                </c:pt>
                <c:pt idx="260">
                  <c:v>42</c:v>
                </c:pt>
                <c:pt idx="261">
                  <c:v>42</c:v>
                </c:pt>
                <c:pt idx="262">
                  <c:v>42</c:v>
                </c:pt>
                <c:pt idx="263">
                  <c:v>39</c:v>
                </c:pt>
                <c:pt idx="264">
                  <c:v>39</c:v>
                </c:pt>
                <c:pt idx="265">
                  <c:v>39</c:v>
                </c:pt>
                <c:pt idx="266">
                  <c:v>39</c:v>
                </c:pt>
                <c:pt idx="267">
                  <c:v>36</c:v>
                </c:pt>
                <c:pt idx="268">
                  <c:v>36</c:v>
                </c:pt>
                <c:pt idx="269">
                  <c:v>36</c:v>
                </c:pt>
                <c:pt idx="270">
                  <c:v>36</c:v>
                </c:pt>
                <c:pt idx="271">
                  <c:v>36</c:v>
                </c:pt>
                <c:pt idx="272">
                  <c:v>30</c:v>
                </c:pt>
                <c:pt idx="273">
                  <c:v>30</c:v>
                </c:pt>
                <c:pt idx="274">
                  <c:v>30</c:v>
                </c:pt>
                <c:pt idx="275">
                  <c:v>30</c:v>
                </c:pt>
                <c:pt idx="276">
                  <c:v>30</c:v>
                </c:pt>
                <c:pt idx="277">
                  <c:v>27</c:v>
                </c:pt>
                <c:pt idx="278">
                  <c:v>27</c:v>
                </c:pt>
                <c:pt idx="279">
                  <c:v>27</c:v>
                </c:pt>
                <c:pt idx="280">
                  <c:v>27</c:v>
                </c:pt>
                <c:pt idx="281">
                  <c:v>27</c:v>
                </c:pt>
                <c:pt idx="282">
                  <c:v>27</c:v>
                </c:pt>
                <c:pt idx="283">
                  <c:v>24</c:v>
                </c:pt>
                <c:pt idx="284">
                  <c:v>24</c:v>
                </c:pt>
                <c:pt idx="285">
                  <c:v>21</c:v>
                </c:pt>
                <c:pt idx="286">
                  <c:v>21</c:v>
                </c:pt>
                <c:pt idx="287">
                  <c:v>21</c:v>
                </c:pt>
                <c:pt idx="288">
                  <c:v>21</c:v>
                </c:pt>
                <c:pt idx="289">
                  <c:v>21</c:v>
                </c:pt>
                <c:pt idx="290">
                  <c:v>21</c:v>
                </c:pt>
                <c:pt idx="291">
                  <c:v>18</c:v>
                </c:pt>
                <c:pt idx="292">
                  <c:v>18</c:v>
                </c:pt>
                <c:pt idx="293">
                  <c:v>18</c:v>
                </c:pt>
                <c:pt idx="294">
                  <c:v>15</c:v>
                </c:pt>
                <c:pt idx="295">
                  <c:v>15</c:v>
                </c:pt>
                <c:pt idx="296">
                  <c:v>15</c:v>
                </c:pt>
                <c:pt idx="297">
                  <c:v>15</c:v>
                </c:pt>
                <c:pt idx="298">
                  <c:v>12</c:v>
                </c:pt>
                <c:pt idx="299">
                  <c:v>12</c:v>
                </c:pt>
              </c:numCache>
            </c:numRef>
          </c:yVal>
          <c:smooth val="0"/>
          <c:extLst>
            <c:ext xmlns:c16="http://schemas.microsoft.com/office/drawing/2014/chart" uri="{C3380CC4-5D6E-409C-BE32-E72D297353CC}">
              <c16:uniqueId val="{00000000-95E7-45F2-94BE-6430C282F0A3}"/>
            </c:ext>
          </c:extLst>
        </c:ser>
        <c:dLbls>
          <c:showLegendKey val="0"/>
          <c:showVal val="0"/>
          <c:showCatName val="0"/>
          <c:showSerName val="0"/>
          <c:showPercent val="0"/>
          <c:showBubbleSize val="0"/>
        </c:dLbls>
        <c:axId val="321537791"/>
        <c:axId val="321534911"/>
      </c:scatterChart>
      <c:valAx>
        <c:axId val="321537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34911"/>
        <c:crosses val="autoZero"/>
        <c:crossBetween val="midCat"/>
      </c:valAx>
      <c:valAx>
        <c:axId val="32153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37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36482939632545E-2"/>
          <c:y val="0.12541666666666668"/>
          <c:w val="0.84625240594925633"/>
          <c:h val="0.74403579760863225"/>
        </c:manualLayout>
      </c:layout>
      <c:scatterChart>
        <c:scatterStyle val="lineMarker"/>
        <c:varyColors val="0"/>
        <c:ser>
          <c:idx val="0"/>
          <c:order val="0"/>
          <c:tx>
            <c:strRef>
              <c:f>'6'!$AA$4</c:f>
              <c:strCache>
                <c:ptCount val="1"/>
                <c:pt idx="0">
                  <c:v>Units</c:v>
                </c:pt>
              </c:strCache>
            </c:strRef>
          </c:tx>
          <c:spPr>
            <a:ln w="19050" cap="rnd">
              <a:noFill/>
              <a:round/>
            </a:ln>
            <a:effectLst/>
          </c:spPr>
          <c:marker>
            <c:symbol val="circle"/>
            <c:size val="5"/>
            <c:spPr>
              <a:solidFill>
                <a:schemeClr val="accent1"/>
              </a:solidFill>
              <a:ln w="9525">
                <a:solidFill>
                  <a:schemeClr val="accent1"/>
                </a:solidFill>
              </a:ln>
              <a:effectLst/>
            </c:spPr>
          </c:marker>
          <c:xVal>
            <c:numRef>
              <c:f>'6'!$Z$5:$Z$304</c:f>
              <c:numCache>
                <c:formatCode>"$"#,##0_);[Red]\("$"#,##0\)</c:formatCode>
                <c:ptCount val="300"/>
                <c:pt idx="0">
                  <c:v>6111</c:v>
                </c:pt>
                <c:pt idx="1">
                  <c:v>5915</c:v>
                </c:pt>
                <c:pt idx="2">
                  <c:v>3549</c:v>
                </c:pt>
                <c:pt idx="3">
                  <c:v>2989</c:v>
                </c:pt>
                <c:pt idx="4">
                  <c:v>5306</c:v>
                </c:pt>
                <c:pt idx="5">
                  <c:v>6118</c:v>
                </c:pt>
                <c:pt idx="6">
                  <c:v>4991</c:v>
                </c:pt>
                <c:pt idx="7">
                  <c:v>2933</c:v>
                </c:pt>
                <c:pt idx="8">
                  <c:v>2744</c:v>
                </c:pt>
                <c:pt idx="9">
                  <c:v>2408</c:v>
                </c:pt>
                <c:pt idx="10">
                  <c:v>6818</c:v>
                </c:pt>
                <c:pt idx="11">
                  <c:v>2562</c:v>
                </c:pt>
                <c:pt idx="12">
                  <c:v>938</c:v>
                </c:pt>
                <c:pt idx="13">
                  <c:v>15610</c:v>
                </c:pt>
                <c:pt idx="14">
                  <c:v>12348</c:v>
                </c:pt>
                <c:pt idx="15">
                  <c:v>10311</c:v>
                </c:pt>
                <c:pt idx="16">
                  <c:v>11522</c:v>
                </c:pt>
                <c:pt idx="17">
                  <c:v>13391</c:v>
                </c:pt>
                <c:pt idx="18">
                  <c:v>14329</c:v>
                </c:pt>
                <c:pt idx="19">
                  <c:v>11571</c:v>
                </c:pt>
                <c:pt idx="20">
                  <c:v>16184</c:v>
                </c:pt>
                <c:pt idx="21">
                  <c:v>12950</c:v>
                </c:pt>
                <c:pt idx="22">
                  <c:v>11417</c:v>
                </c:pt>
                <c:pt idx="23">
                  <c:v>5586</c:v>
                </c:pt>
                <c:pt idx="24">
                  <c:v>798</c:v>
                </c:pt>
                <c:pt idx="25">
                  <c:v>819</c:v>
                </c:pt>
                <c:pt idx="26">
                  <c:v>7777</c:v>
                </c:pt>
                <c:pt idx="27">
                  <c:v>8463</c:v>
                </c:pt>
                <c:pt idx="28">
                  <c:v>1785</c:v>
                </c:pt>
                <c:pt idx="29">
                  <c:v>6706</c:v>
                </c:pt>
                <c:pt idx="30">
                  <c:v>3556</c:v>
                </c:pt>
                <c:pt idx="31">
                  <c:v>8008</c:v>
                </c:pt>
                <c:pt idx="32">
                  <c:v>2275</c:v>
                </c:pt>
                <c:pt idx="33">
                  <c:v>8869</c:v>
                </c:pt>
                <c:pt idx="34">
                  <c:v>2100</c:v>
                </c:pt>
                <c:pt idx="35">
                  <c:v>1904</c:v>
                </c:pt>
                <c:pt idx="36">
                  <c:v>1302</c:v>
                </c:pt>
                <c:pt idx="37">
                  <c:v>3052</c:v>
                </c:pt>
                <c:pt idx="38">
                  <c:v>6853</c:v>
                </c:pt>
                <c:pt idx="39">
                  <c:v>1932</c:v>
                </c:pt>
                <c:pt idx="40">
                  <c:v>3402</c:v>
                </c:pt>
                <c:pt idx="41">
                  <c:v>938</c:v>
                </c:pt>
                <c:pt idx="42">
                  <c:v>2702</c:v>
                </c:pt>
                <c:pt idx="43">
                  <c:v>4480</c:v>
                </c:pt>
                <c:pt idx="44">
                  <c:v>4326</c:v>
                </c:pt>
                <c:pt idx="45">
                  <c:v>3339</c:v>
                </c:pt>
                <c:pt idx="46">
                  <c:v>2471</c:v>
                </c:pt>
                <c:pt idx="47">
                  <c:v>4487</c:v>
                </c:pt>
                <c:pt idx="48">
                  <c:v>7308</c:v>
                </c:pt>
                <c:pt idx="49">
                  <c:v>4592</c:v>
                </c:pt>
                <c:pt idx="50">
                  <c:v>10129</c:v>
                </c:pt>
                <c:pt idx="51">
                  <c:v>3689</c:v>
                </c:pt>
                <c:pt idx="52">
                  <c:v>854</c:v>
                </c:pt>
                <c:pt idx="53">
                  <c:v>3920</c:v>
                </c:pt>
                <c:pt idx="54">
                  <c:v>3164</c:v>
                </c:pt>
                <c:pt idx="55">
                  <c:v>819</c:v>
                </c:pt>
                <c:pt idx="56">
                  <c:v>8841</c:v>
                </c:pt>
                <c:pt idx="57">
                  <c:v>6657</c:v>
                </c:pt>
                <c:pt idx="58">
                  <c:v>1589</c:v>
                </c:pt>
                <c:pt idx="59">
                  <c:v>4753</c:v>
                </c:pt>
                <c:pt idx="60">
                  <c:v>2870</c:v>
                </c:pt>
                <c:pt idx="61">
                  <c:v>5670</c:v>
                </c:pt>
                <c:pt idx="62">
                  <c:v>9632</c:v>
                </c:pt>
                <c:pt idx="63">
                  <c:v>5194</c:v>
                </c:pt>
                <c:pt idx="64">
                  <c:v>3507</c:v>
                </c:pt>
                <c:pt idx="65">
                  <c:v>245</c:v>
                </c:pt>
                <c:pt idx="66">
                  <c:v>1134</c:v>
                </c:pt>
                <c:pt idx="67">
                  <c:v>4858</c:v>
                </c:pt>
                <c:pt idx="68">
                  <c:v>3808</c:v>
                </c:pt>
                <c:pt idx="69">
                  <c:v>7259</c:v>
                </c:pt>
                <c:pt idx="70">
                  <c:v>6657</c:v>
                </c:pt>
                <c:pt idx="71">
                  <c:v>1085</c:v>
                </c:pt>
                <c:pt idx="72">
                  <c:v>1778</c:v>
                </c:pt>
                <c:pt idx="73">
                  <c:v>1071</c:v>
                </c:pt>
                <c:pt idx="74">
                  <c:v>2317</c:v>
                </c:pt>
                <c:pt idx="75">
                  <c:v>5677</c:v>
                </c:pt>
                <c:pt idx="76">
                  <c:v>2415</c:v>
                </c:pt>
                <c:pt idx="77">
                  <c:v>6755</c:v>
                </c:pt>
                <c:pt idx="78">
                  <c:v>5551</c:v>
                </c:pt>
                <c:pt idx="79">
                  <c:v>385</c:v>
                </c:pt>
                <c:pt idx="80">
                  <c:v>4753</c:v>
                </c:pt>
                <c:pt idx="81">
                  <c:v>4438</c:v>
                </c:pt>
                <c:pt idx="82">
                  <c:v>3094</c:v>
                </c:pt>
                <c:pt idx="83">
                  <c:v>2856</c:v>
                </c:pt>
                <c:pt idx="84">
                  <c:v>7833</c:v>
                </c:pt>
                <c:pt idx="85">
                  <c:v>4585</c:v>
                </c:pt>
                <c:pt idx="86">
                  <c:v>1526</c:v>
                </c:pt>
                <c:pt idx="87">
                  <c:v>6279</c:v>
                </c:pt>
                <c:pt idx="88">
                  <c:v>2464</c:v>
                </c:pt>
                <c:pt idx="89">
                  <c:v>1701</c:v>
                </c:pt>
                <c:pt idx="90">
                  <c:v>714</c:v>
                </c:pt>
                <c:pt idx="91">
                  <c:v>567</c:v>
                </c:pt>
                <c:pt idx="92">
                  <c:v>6608</c:v>
                </c:pt>
                <c:pt idx="93">
                  <c:v>3101</c:v>
                </c:pt>
                <c:pt idx="94">
                  <c:v>1274</c:v>
                </c:pt>
                <c:pt idx="95">
                  <c:v>2009</c:v>
                </c:pt>
                <c:pt idx="96">
                  <c:v>7455</c:v>
                </c:pt>
                <c:pt idx="97">
                  <c:v>7651</c:v>
                </c:pt>
                <c:pt idx="98">
                  <c:v>3752</c:v>
                </c:pt>
                <c:pt idx="99">
                  <c:v>8890</c:v>
                </c:pt>
                <c:pt idx="100">
                  <c:v>5012</c:v>
                </c:pt>
                <c:pt idx="101">
                  <c:v>9835</c:v>
                </c:pt>
                <c:pt idx="102">
                  <c:v>4242</c:v>
                </c:pt>
                <c:pt idx="103">
                  <c:v>259</c:v>
                </c:pt>
                <c:pt idx="104">
                  <c:v>5355</c:v>
                </c:pt>
                <c:pt idx="105">
                  <c:v>2639</c:v>
                </c:pt>
                <c:pt idx="106">
                  <c:v>1771</c:v>
                </c:pt>
                <c:pt idx="107">
                  <c:v>98</c:v>
                </c:pt>
                <c:pt idx="108">
                  <c:v>9926</c:v>
                </c:pt>
                <c:pt idx="109">
                  <c:v>7280</c:v>
                </c:pt>
                <c:pt idx="110">
                  <c:v>4424</c:v>
                </c:pt>
                <c:pt idx="111">
                  <c:v>966</c:v>
                </c:pt>
                <c:pt idx="112">
                  <c:v>1974</c:v>
                </c:pt>
                <c:pt idx="113">
                  <c:v>1890</c:v>
                </c:pt>
                <c:pt idx="114">
                  <c:v>861</c:v>
                </c:pt>
                <c:pt idx="115">
                  <c:v>1925</c:v>
                </c:pt>
                <c:pt idx="116">
                  <c:v>8862</c:v>
                </c:pt>
                <c:pt idx="117">
                  <c:v>4949</c:v>
                </c:pt>
                <c:pt idx="118">
                  <c:v>2954</c:v>
                </c:pt>
                <c:pt idx="119">
                  <c:v>938</c:v>
                </c:pt>
                <c:pt idx="120">
                  <c:v>2114</c:v>
                </c:pt>
                <c:pt idx="121">
                  <c:v>7021</c:v>
                </c:pt>
                <c:pt idx="122">
                  <c:v>6580</c:v>
                </c:pt>
                <c:pt idx="123">
                  <c:v>3864</c:v>
                </c:pt>
                <c:pt idx="124">
                  <c:v>2646</c:v>
                </c:pt>
                <c:pt idx="125">
                  <c:v>2324</c:v>
                </c:pt>
                <c:pt idx="126">
                  <c:v>7847</c:v>
                </c:pt>
                <c:pt idx="127">
                  <c:v>6118</c:v>
                </c:pt>
                <c:pt idx="128">
                  <c:v>4725</c:v>
                </c:pt>
                <c:pt idx="129">
                  <c:v>707</c:v>
                </c:pt>
                <c:pt idx="130">
                  <c:v>4956</c:v>
                </c:pt>
                <c:pt idx="131">
                  <c:v>4018</c:v>
                </c:pt>
                <c:pt idx="132">
                  <c:v>5474</c:v>
                </c:pt>
                <c:pt idx="133">
                  <c:v>2023</c:v>
                </c:pt>
                <c:pt idx="134">
                  <c:v>21</c:v>
                </c:pt>
                <c:pt idx="135">
                  <c:v>3773</c:v>
                </c:pt>
                <c:pt idx="136">
                  <c:v>9443</c:v>
                </c:pt>
                <c:pt idx="137">
                  <c:v>4018</c:v>
                </c:pt>
                <c:pt idx="138">
                  <c:v>973</c:v>
                </c:pt>
                <c:pt idx="139">
                  <c:v>3794</c:v>
                </c:pt>
                <c:pt idx="140">
                  <c:v>98</c:v>
                </c:pt>
                <c:pt idx="141">
                  <c:v>5019</c:v>
                </c:pt>
                <c:pt idx="142">
                  <c:v>4970</c:v>
                </c:pt>
                <c:pt idx="143">
                  <c:v>4305</c:v>
                </c:pt>
                <c:pt idx="144">
                  <c:v>4417</c:v>
                </c:pt>
                <c:pt idx="145">
                  <c:v>5019</c:v>
                </c:pt>
                <c:pt idx="146">
                  <c:v>3759</c:v>
                </c:pt>
                <c:pt idx="147">
                  <c:v>42</c:v>
                </c:pt>
                <c:pt idx="148">
                  <c:v>959</c:v>
                </c:pt>
                <c:pt idx="149">
                  <c:v>6027</c:v>
                </c:pt>
                <c:pt idx="150">
                  <c:v>3983</c:v>
                </c:pt>
                <c:pt idx="151">
                  <c:v>2429</c:v>
                </c:pt>
                <c:pt idx="152">
                  <c:v>336</c:v>
                </c:pt>
                <c:pt idx="153">
                  <c:v>2205</c:v>
                </c:pt>
                <c:pt idx="154">
                  <c:v>1568</c:v>
                </c:pt>
                <c:pt idx="155">
                  <c:v>2205</c:v>
                </c:pt>
                <c:pt idx="156">
                  <c:v>2289</c:v>
                </c:pt>
                <c:pt idx="157">
                  <c:v>1400</c:v>
                </c:pt>
                <c:pt idx="158">
                  <c:v>959</c:v>
                </c:pt>
                <c:pt idx="159">
                  <c:v>0</c:v>
                </c:pt>
                <c:pt idx="160">
                  <c:v>847</c:v>
                </c:pt>
                <c:pt idx="161">
                  <c:v>6860</c:v>
                </c:pt>
                <c:pt idx="162">
                  <c:v>4935</c:v>
                </c:pt>
                <c:pt idx="163">
                  <c:v>4018</c:v>
                </c:pt>
                <c:pt idx="164">
                  <c:v>1617</c:v>
                </c:pt>
                <c:pt idx="165">
                  <c:v>357</c:v>
                </c:pt>
                <c:pt idx="166">
                  <c:v>6734</c:v>
                </c:pt>
                <c:pt idx="167">
                  <c:v>4781</c:v>
                </c:pt>
                <c:pt idx="168">
                  <c:v>3388</c:v>
                </c:pt>
                <c:pt idx="169">
                  <c:v>2317</c:v>
                </c:pt>
                <c:pt idx="170">
                  <c:v>63</c:v>
                </c:pt>
                <c:pt idx="171">
                  <c:v>10073</c:v>
                </c:pt>
                <c:pt idx="172">
                  <c:v>7511</c:v>
                </c:pt>
                <c:pt idx="173">
                  <c:v>2646</c:v>
                </c:pt>
                <c:pt idx="174">
                  <c:v>2212</c:v>
                </c:pt>
                <c:pt idx="175">
                  <c:v>2149</c:v>
                </c:pt>
                <c:pt idx="176">
                  <c:v>2016</c:v>
                </c:pt>
                <c:pt idx="177">
                  <c:v>2793</c:v>
                </c:pt>
                <c:pt idx="178">
                  <c:v>2142</c:v>
                </c:pt>
                <c:pt idx="179">
                  <c:v>1624</c:v>
                </c:pt>
                <c:pt idx="180">
                  <c:v>4487</c:v>
                </c:pt>
                <c:pt idx="181">
                  <c:v>1526</c:v>
                </c:pt>
                <c:pt idx="182">
                  <c:v>6398</c:v>
                </c:pt>
                <c:pt idx="183">
                  <c:v>6125</c:v>
                </c:pt>
                <c:pt idx="184">
                  <c:v>3850</c:v>
                </c:pt>
                <c:pt idx="185">
                  <c:v>2891</c:v>
                </c:pt>
                <c:pt idx="186">
                  <c:v>1652</c:v>
                </c:pt>
                <c:pt idx="187">
                  <c:v>1505</c:v>
                </c:pt>
                <c:pt idx="188">
                  <c:v>2436</c:v>
                </c:pt>
                <c:pt idx="189">
                  <c:v>609</c:v>
                </c:pt>
                <c:pt idx="190">
                  <c:v>7273</c:v>
                </c:pt>
                <c:pt idx="191">
                  <c:v>3472</c:v>
                </c:pt>
                <c:pt idx="192">
                  <c:v>1568</c:v>
                </c:pt>
                <c:pt idx="193">
                  <c:v>6132</c:v>
                </c:pt>
                <c:pt idx="194">
                  <c:v>2919</c:v>
                </c:pt>
                <c:pt idx="195">
                  <c:v>2737</c:v>
                </c:pt>
                <c:pt idx="196">
                  <c:v>1652</c:v>
                </c:pt>
                <c:pt idx="197">
                  <c:v>1428</c:v>
                </c:pt>
                <c:pt idx="198">
                  <c:v>9772</c:v>
                </c:pt>
                <c:pt idx="199">
                  <c:v>8155</c:v>
                </c:pt>
                <c:pt idx="200">
                  <c:v>2541</c:v>
                </c:pt>
                <c:pt idx="201">
                  <c:v>9506</c:v>
                </c:pt>
                <c:pt idx="202">
                  <c:v>7693</c:v>
                </c:pt>
                <c:pt idx="203">
                  <c:v>700</c:v>
                </c:pt>
                <c:pt idx="204">
                  <c:v>609</c:v>
                </c:pt>
                <c:pt idx="205">
                  <c:v>434</c:v>
                </c:pt>
                <c:pt idx="206">
                  <c:v>280</c:v>
                </c:pt>
                <c:pt idx="207">
                  <c:v>10304</c:v>
                </c:pt>
                <c:pt idx="208">
                  <c:v>490</c:v>
                </c:pt>
                <c:pt idx="209">
                  <c:v>168</c:v>
                </c:pt>
                <c:pt idx="210">
                  <c:v>7812</c:v>
                </c:pt>
                <c:pt idx="211">
                  <c:v>6909</c:v>
                </c:pt>
                <c:pt idx="212">
                  <c:v>3598</c:v>
                </c:pt>
                <c:pt idx="213">
                  <c:v>560</c:v>
                </c:pt>
                <c:pt idx="214">
                  <c:v>6433</c:v>
                </c:pt>
                <c:pt idx="215">
                  <c:v>2023</c:v>
                </c:pt>
                <c:pt idx="216">
                  <c:v>8211</c:v>
                </c:pt>
                <c:pt idx="217">
                  <c:v>3339</c:v>
                </c:pt>
                <c:pt idx="218">
                  <c:v>3262</c:v>
                </c:pt>
                <c:pt idx="219">
                  <c:v>2779</c:v>
                </c:pt>
                <c:pt idx="220">
                  <c:v>2219</c:v>
                </c:pt>
                <c:pt idx="221">
                  <c:v>1281</c:v>
                </c:pt>
                <c:pt idx="222">
                  <c:v>945</c:v>
                </c:pt>
                <c:pt idx="223">
                  <c:v>518</c:v>
                </c:pt>
                <c:pt idx="224">
                  <c:v>469</c:v>
                </c:pt>
                <c:pt idx="225">
                  <c:v>9002</c:v>
                </c:pt>
                <c:pt idx="226">
                  <c:v>3976</c:v>
                </c:pt>
                <c:pt idx="227">
                  <c:v>3192</c:v>
                </c:pt>
                <c:pt idx="228">
                  <c:v>1407</c:v>
                </c:pt>
                <c:pt idx="229">
                  <c:v>4760</c:v>
                </c:pt>
                <c:pt idx="230">
                  <c:v>2114</c:v>
                </c:pt>
                <c:pt idx="231">
                  <c:v>6146</c:v>
                </c:pt>
                <c:pt idx="232">
                  <c:v>4606</c:v>
                </c:pt>
                <c:pt idx="233">
                  <c:v>2268</c:v>
                </c:pt>
                <c:pt idx="234">
                  <c:v>1638</c:v>
                </c:pt>
                <c:pt idx="235">
                  <c:v>497</c:v>
                </c:pt>
                <c:pt idx="236">
                  <c:v>4137</c:v>
                </c:pt>
                <c:pt idx="237">
                  <c:v>9051</c:v>
                </c:pt>
                <c:pt idx="238">
                  <c:v>7189</c:v>
                </c:pt>
                <c:pt idx="239">
                  <c:v>6454</c:v>
                </c:pt>
                <c:pt idx="240">
                  <c:v>3108</c:v>
                </c:pt>
                <c:pt idx="241">
                  <c:v>2681</c:v>
                </c:pt>
                <c:pt idx="242">
                  <c:v>1057</c:v>
                </c:pt>
                <c:pt idx="243">
                  <c:v>252</c:v>
                </c:pt>
                <c:pt idx="244">
                  <c:v>5236</c:v>
                </c:pt>
                <c:pt idx="245">
                  <c:v>3640</c:v>
                </c:pt>
                <c:pt idx="246">
                  <c:v>623</c:v>
                </c:pt>
                <c:pt idx="247">
                  <c:v>56</c:v>
                </c:pt>
                <c:pt idx="248">
                  <c:v>6748</c:v>
                </c:pt>
                <c:pt idx="249">
                  <c:v>6391</c:v>
                </c:pt>
                <c:pt idx="250">
                  <c:v>2226</c:v>
                </c:pt>
                <c:pt idx="251">
                  <c:v>1638</c:v>
                </c:pt>
                <c:pt idx="252">
                  <c:v>525</c:v>
                </c:pt>
                <c:pt idx="253">
                  <c:v>189</c:v>
                </c:pt>
                <c:pt idx="254">
                  <c:v>182</c:v>
                </c:pt>
                <c:pt idx="255">
                  <c:v>7483</c:v>
                </c:pt>
                <c:pt idx="256">
                  <c:v>6279</c:v>
                </c:pt>
                <c:pt idx="257">
                  <c:v>2919</c:v>
                </c:pt>
                <c:pt idx="258">
                  <c:v>2541</c:v>
                </c:pt>
                <c:pt idx="259">
                  <c:v>8435</c:v>
                </c:pt>
                <c:pt idx="260">
                  <c:v>6300</c:v>
                </c:pt>
                <c:pt idx="261">
                  <c:v>5775</c:v>
                </c:pt>
                <c:pt idx="262">
                  <c:v>2863</c:v>
                </c:pt>
                <c:pt idx="263">
                  <c:v>7777</c:v>
                </c:pt>
                <c:pt idx="264">
                  <c:v>3339</c:v>
                </c:pt>
                <c:pt idx="265">
                  <c:v>1988</c:v>
                </c:pt>
                <c:pt idx="266">
                  <c:v>1463</c:v>
                </c:pt>
                <c:pt idx="267">
                  <c:v>9198</c:v>
                </c:pt>
                <c:pt idx="268">
                  <c:v>7322</c:v>
                </c:pt>
                <c:pt idx="269">
                  <c:v>4802</c:v>
                </c:pt>
                <c:pt idx="270">
                  <c:v>630</c:v>
                </c:pt>
                <c:pt idx="271">
                  <c:v>217</c:v>
                </c:pt>
                <c:pt idx="272">
                  <c:v>9709</c:v>
                </c:pt>
                <c:pt idx="273">
                  <c:v>6370</c:v>
                </c:pt>
                <c:pt idx="274">
                  <c:v>5439</c:v>
                </c:pt>
                <c:pt idx="275">
                  <c:v>4683</c:v>
                </c:pt>
                <c:pt idx="276">
                  <c:v>4319</c:v>
                </c:pt>
                <c:pt idx="277">
                  <c:v>9660</c:v>
                </c:pt>
                <c:pt idx="278">
                  <c:v>6832</c:v>
                </c:pt>
                <c:pt idx="279">
                  <c:v>6048</c:v>
                </c:pt>
                <c:pt idx="280">
                  <c:v>3059</c:v>
                </c:pt>
                <c:pt idx="281">
                  <c:v>2135</c:v>
                </c:pt>
                <c:pt idx="282">
                  <c:v>1561</c:v>
                </c:pt>
                <c:pt idx="283">
                  <c:v>4053</c:v>
                </c:pt>
                <c:pt idx="284">
                  <c:v>3829</c:v>
                </c:pt>
                <c:pt idx="285">
                  <c:v>8813</c:v>
                </c:pt>
                <c:pt idx="286">
                  <c:v>7693</c:v>
                </c:pt>
                <c:pt idx="287">
                  <c:v>6986</c:v>
                </c:pt>
                <c:pt idx="288">
                  <c:v>5075</c:v>
                </c:pt>
                <c:pt idx="289">
                  <c:v>2478</c:v>
                </c:pt>
                <c:pt idx="290">
                  <c:v>154</c:v>
                </c:pt>
                <c:pt idx="291">
                  <c:v>2583</c:v>
                </c:pt>
                <c:pt idx="292">
                  <c:v>1281</c:v>
                </c:pt>
                <c:pt idx="293">
                  <c:v>238</c:v>
                </c:pt>
                <c:pt idx="294">
                  <c:v>6314</c:v>
                </c:pt>
                <c:pt idx="295">
                  <c:v>2415</c:v>
                </c:pt>
                <c:pt idx="296">
                  <c:v>1442</c:v>
                </c:pt>
                <c:pt idx="297">
                  <c:v>553</c:v>
                </c:pt>
                <c:pt idx="298">
                  <c:v>5817</c:v>
                </c:pt>
                <c:pt idx="299">
                  <c:v>4991</c:v>
                </c:pt>
              </c:numCache>
            </c:numRef>
          </c:xVal>
          <c:yVal>
            <c:numRef>
              <c:f>'6'!$AA$5:$AA$304</c:f>
              <c:numCache>
                <c:formatCode>#,##0</c:formatCode>
                <c:ptCount val="300"/>
                <c:pt idx="0">
                  <c:v>3</c:v>
                </c:pt>
                <c:pt idx="1">
                  <c:v>3</c:v>
                </c:pt>
                <c:pt idx="2">
                  <c:v>3</c:v>
                </c:pt>
                <c:pt idx="3">
                  <c:v>3</c:v>
                </c:pt>
                <c:pt idx="4">
                  <c:v>0</c:v>
                </c:pt>
                <c:pt idx="5">
                  <c:v>9</c:v>
                </c:pt>
                <c:pt idx="6">
                  <c:v>9</c:v>
                </c:pt>
                <c:pt idx="7">
                  <c:v>9</c:v>
                </c:pt>
                <c:pt idx="8">
                  <c:v>9</c:v>
                </c:pt>
                <c:pt idx="9">
                  <c:v>9</c:v>
                </c:pt>
                <c:pt idx="10">
                  <c:v>6</c:v>
                </c:pt>
                <c:pt idx="11">
                  <c:v>6</c:v>
                </c:pt>
                <c:pt idx="12">
                  <c:v>6</c:v>
                </c:pt>
                <c:pt idx="13">
                  <c:v>339</c:v>
                </c:pt>
                <c:pt idx="14">
                  <c:v>234</c:v>
                </c:pt>
                <c:pt idx="15">
                  <c:v>231</c:v>
                </c:pt>
                <c:pt idx="16">
                  <c:v>204</c:v>
                </c:pt>
                <c:pt idx="17">
                  <c:v>201</c:v>
                </c:pt>
                <c:pt idx="18">
                  <c:v>150</c:v>
                </c:pt>
                <c:pt idx="19">
                  <c:v>138</c:v>
                </c:pt>
                <c:pt idx="20">
                  <c:v>39</c:v>
                </c:pt>
                <c:pt idx="21">
                  <c:v>30</c:v>
                </c:pt>
                <c:pt idx="22">
                  <c:v>21</c:v>
                </c:pt>
                <c:pt idx="23">
                  <c:v>525</c:v>
                </c:pt>
                <c:pt idx="24">
                  <c:v>519</c:v>
                </c:pt>
                <c:pt idx="25">
                  <c:v>510</c:v>
                </c:pt>
                <c:pt idx="26">
                  <c:v>504</c:v>
                </c:pt>
                <c:pt idx="27">
                  <c:v>492</c:v>
                </c:pt>
                <c:pt idx="28">
                  <c:v>462</c:v>
                </c:pt>
                <c:pt idx="29">
                  <c:v>459</c:v>
                </c:pt>
                <c:pt idx="30">
                  <c:v>459</c:v>
                </c:pt>
                <c:pt idx="31">
                  <c:v>456</c:v>
                </c:pt>
                <c:pt idx="32">
                  <c:v>447</c:v>
                </c:pt>
                <c:pt idx="33">
                  <c:v>432</c:v>
                </c:pt>
                <c:pt idx="34">
                  <c:v>414</c:v>
                </c:pt>
                <c:pt idx="35">
                  <c:v>405</c:v>
                </c:pt>
                <c:pt idx="36">
                  <c:v>402</c:v>
                </c:pt>
                <c:pt idx="37">
                  <c:v>378</c:v>
                </c:pt>
                <c:pt idx="38">
                  <c:v>372</c:v>
                </c:pt>
                <c:pt idx="39">
                  <c:v>369</c:v>
                </c:pt>
                <c:pt idx="40">
                  <c:v>366</c:v>
                </c:pt>
                <c:pt idx="41">
                  <c:v>366</c:v>
                </c:pt>
                <c:pt idx="42">
                  <c:v>363</c:v>
                </c:pt>
                <c:pt idx="43">
                  <c:v>357</c:v>
                </c:pt>
                <c:pt idx="44">
                  <c:v>348</c:v>
                </c:pt>
                <c:pt idx="45">
                  <c:v>348</c:v>
                </c:pt>
                <c:pt idx="46">
                  <c:v>342</c:v>
                </c:pt>
                <c:pt idx="47">
                  <c:v>333</c:v>
                </c:pt>
                <c:pt idx="48">
                  <c:v>327</c:v>
                </c:pt>
                <c:pt idx="49">
                  <c:v>324</c:v>
                </c:pt>
                <c:pt idx="50">
                  <c:v>312</c:v>
                </c:pt>
                <c:pt idx="51">
                  <c:v>312</c:v>
                </c:pt>
                <c:pt idx="52">
                  <c:v>309</c:v>
                </c:pt>
                <c:pt idx="53">
                  <c:v>306</c:v>
                </c:pt>
                <c:pt idx="54">
                  <c:v>306</c:v>
                </c:pt>
                <c:pt idx="55">
                  <c:v>306</c:v>
                </c:pt>
                <c:pt idx="56">
                  <c:v>303</c:v>
                </c:pt>
                <c:pt idx="57">
                  <c:v>303</c:v>
                </c:pt>
                <c:pt idx="58">
                  <c:v>303</c:v>
                </c:pt>
                <c:pt idx="59">
                  <c:v>300</c:v>
                </c:pt>
                <c:pt idx="60">
                  <c:v>300</c:v>
                </c:pt>
                <c:pt idx="61">
                  <c:v>297</c:v>
                </c:pt>
                <c:pt idx="62">
                  <c:v>288</c:v>
                </c:pt>
                <c:pt idx="63">
                  <c:v>288</c:v>
                </c:pt>
                <c:pt idx="64">
                  <c:v>288</c:v>
                </c:pt>
                <c:pt idx="65">
                  <c:v>288</c:v>
                </c:pt>
                <c:pt idx="66">
                  <c:v>282</c:v>
                </c:pt>
                <c:pt idx="67">
                  <c:v>279</c:v>
                </c:pt>
                <c:pt idx="68">
                  <c:v>279</c:v>
                </c:pt>
                <c:pt idx="69">
                  <c:v>276</c:v>
                </c:pt>
                <c:pt idx="70">
                  <c:v>276</c:v>
                </c:pt>
                <c:pt idx="71">
                  <c:v>273</c:v>
                </c:pt>
                <c:pt idx="72">
                  <c:v>270</c:v>
                </c:pt>
                <c:pt idx="73">
                  <c:v>270</c:v>
                </c:pt>
                <c:pt idx="74">
                  <c:v>261</c:v>
                </c:pt>
                <c:pt idx="75">
                  <c:v>258</c:v>
                </c:pt>
                <c:pt idx="76">
                  <c:v>255</c:v>
                </c:pt>
                <c:pt idx="77">
                  <c:v>252</c:v>
                </c:pt>
                <c:pt idx="78">
                  <c:v>252</c:v>
                </c:pt>
                <c:pt idx="79">
                  <c:v>249</c:v>
                </c:pt>
                <c:pt idx="80">
                  <c:v>246</c:v>
                </c:pt>
                <c:pt idx="81">
                  <c:v>246</c:v>
                </c:pt>
                <c:pt idx="82">
                  <c:v>246</c:v>
                </c:pt>
                <c:pt idx="83">
                  <c:v>246</c:v>
                </c:pt>
                <c:pt idx="84">
                  <c:v>243</c:v>
                </c:pt>
                <c:pt idx="85">
                  <c:v>240</c:v>
                </c:pt>
                <c:pt idx="86">
                  <c:v>240</c:v>
                </c:pt>
                <c:pt idx="87">
                  <c:v>237</c:v>
                </c:pt>
                <c:pt idx="88">
                  <c:v>234</c:v>
                </c:pt>
                <c:pt idx="89">
                  <c:v>234</c:v>
                </c:pt>
                <c:pt idx="90">
                  <c:v>231</c:v>
                </c:pt>
                <c:pt idx="91">
                  <c:v>228</c:v>
                </c:pt>
                <c:pt idx="92">
                  <c:v>225</c:v>
                </c:pt>
                <c:pt idx="93">
                  <c:v>225</c:v>
                </c:pt>
                <c:pt idx="94">
                  <c:v>225</c:v>
                </c:pt>
                <c:pt idx="95">
                  <c:v>219</c:v>
                </c:pt>
                <c:pt idx="96">
                  <c:v>216</c:v>
                </c:pt>
                <c:pt idx="97">
                  <c:v>213</c:v>
                </c:pt>
                <c:pt idx="98">
                  <c:v>213</c:v>
                </c:pt>
                <c:pt idx="99">
                  <c:v>210</c:v>
                </c:pt>
                <c:pt idx="100">
                  <c:v>210</c:v>
                </c:pt>
                <c:pt idx="101">
                  <c:v>207</c:v>
                </c:pt>
                <c:pt idx="102">
                  <c:v>207</c:v>
                </c:pt>
                <c:pt idx="103">
                  <c:v>207</c:v>
                </c:pt>
                <c:pt idx="104">
                  <c:v>204</c:v>
                </c:pt>
                <c:pt idx="105">
                  <c:v>204</c:v>
                </c:pt>
                <c:pt idx="106">
                  <c:v>204</c:v>
                </c:pt>
                <c:pt idx="107">
                  <c:v>204</c:v>
                </c:pt>
                <c:pt idx="108">
                  <c:v>201</c:v>
                </c:pt>
                <c:pt idx="109">
                  <c:v>201</c:v>
                </c:pt>
                <c:pt idx="110">
                  <c:v>201</c:v>
                </c:pt>
                <c:pt idx="111">
                  <c:v>198</c:v>
                </c:pt>
                <c:pt idx="112">
                  <c:v>195</c:v>
                </c:pt>
                <c:pt idx="113">
                  <c:v>195</c:v>
                </c:pt>
                <c:pt idx="114">
                  <c:v>195</c:v>
                </c:pt>
                <c:pt idx="115">
                  <c:v>192</c:v>
                </c:pt>
                <c:pt idx="116">
                  <c:v>189</c:v>
                </c:pt>
                <c:pt idx="117">
                  <c:v>189</c:v>
                </c:pt>
                <c:pt idx="118">
                  <c:v>189</c:v>
                </c:pt>
                <c:pt idx="119">
                  <c:v>189</c:v>
                </c:pt>
                <c:pt idx="120">
                  <c:v>186</c:v>
                </c:pt>
                <c:pt idx="121">
                  <c:v>183</c:v>
                </c:pt>
                <c:pt idx="122">
                  <c:v>183</c:v>
                </c:pt>
                <c:pt idx="123">
                  <c:v>177</c:v>
                </c:pt>
                <c:pt idx="124">
                  <c:v>177</c:v>
                </c:pt>
                <c:pt idx="125">
                  <c:v>177</c:v>
                </c:pt>
                <c:pt idx="126">
                  <c:v>174</c:v>
                </c:pt>
                <c:pt idx="127">
                  <c:v>174</c:v>
                </c:pt>
                <c:pt idx="128">
                  <c:v>174</c:v>
                </c:pt>
                <c:pt idx="129">
                  <c:v>174</c:v>
                </c:pt>
                <c:pt idx="130">
                  <c:v>171</c:v>
                </c:pt>
                <c:pt idx="131">
                  <c:v>171</c:v>
                </c:pt>
                <c:pt idx="132">
                  <c:v>168</c:v>
                </c:pt>
                <c:pt idx="133">
                  <c:v>168</c:v>
                </c:pt>
                <c:pt idx="134">
                  <c:v>168</c:v>
                </c:pt>
                <c:pt idx="135">
                  <c:v>165</c:v>
                </c:pt>
                <c:pt idx="136">
                  <c:v>162</c:v>
                </c:pt>
                <c:pt idx="137">
                  <c:v>162</c:v>
                </c:pt>
                <c:pt idx="138">
                  <c:v>162</c:v>
                </c:pt>
                <c:pt idx="139">
                  <c:v>159</c:v>
                </c:pt>
                <c:pt idx="140">
                  <c:v>159</c:v>
                </c:pt>
                <c:pt idx="141">
                  <c:v>156</c:v>
                </c:pt>
                <c:pt idx="142">
                  <c:v>156</c:v>
                </c:pt>
                <c:pt idx="143">
                  <c:v>156</c:v>
                </c:pt>
                <c:pt idx="144">
                  <c:v>153</c:v>
                </c:pt>
                <c:pt idx="145">
                  <c:v>150</c:v>
                </c:pt>
                <c:pt idx="146">
                  <c:v>150</c:v>
                </c:pt>
                <c:pt idx="147">
                  <c:v>150</c:v>
                </c:pt>
                <c:pt idx="148">
                  <c:v>147</c:v>
                </c:pt>
                <c:pt idx="149">
                  <c:v>144</c:v>
                </c:pt>
                <c:pt idx="150">
                  <c:v>144</c:v>
                </c:pt>
                <c:pt idx="151">
                  <c:v>144</c:v>
                </c:pt>
                <c:pt idx="152">
                  <c:v>144</c:v>
                </c:pt>
                <c:pt idx="153">
                  <c:v>141</c:v>
                </c:pt>
                <c:pt idx="154">
                  <c:v>141</c:v>
                </c:pt>
                <c:pt idx="155">
                  <c:v>138</c:v>
                </c:pt>
                <c:pt idx="156">
                  <c:v>135</c:v>
                </c:pt>
                <c:pt idx="157">
                  <c:v>135</c:v>
                </c:pt>
                <c:pt idx="158">
                  <c:v>135</c:v>
                </c:pt>
                <c:pt idx="159">
                  <c:v>135</c:v>
                </c:pt>
                <c:pt idx="160">
                  <c:v>129</c:v>
                </c:pt>
                <c:pt idx="161">
                  <c:v>126</c:v>
                </c:pt>
                <c:pt idx="162">
                  <c:v>126</c:v>
                </c:pt>
                <c:pt idx="163">
                  <c:v>126</c:v>
                </c:pt>
                <c:pt idx="164">
                  <c:v>126</c:v>
                </c:pt>
                <c:pt idx="165">
                  <c:v>126</c:v>
                </c:pt>
                <c:pt idx="166">
                  <c:v>123</c:v>
                </c:pt>
                <c:pt idx="167">
                  <c:v>123</c:v>
                </c:pt>
                <c:pt idx="168">
                  <c:v>123</c:v>
                </c:pt>
                <c:pt idx="169">
                  <c:v>123</c:v>
                </c:pt>
                <c:pt idx="170">
                  <c:v>123</c:v>
                </c:pt>
                <c:pt idx="171">
                  <c:v>120</c:v>
                </c:pt>
                <c:pt idx="172">
                  <c:v>120</c:v>
                </c:pt>
                <c:pt idx="173">
                  <c:v>120</c:v>
                </c:pt>
                <c:pt idx="174">
                  <c:v>117</c:v>
                </c:pt>
                <c:pt idx="175">
                  <c:v>117</c:v>
                </c:pt>
                <c:pt idx="176">
                  <c:v>117</c:v>
                </c:pt>
                <c:pt idx="177">
                  <c:v>114</c:v>
                </c:pt>
                <c:pt idx="178">
                  <c:v>114</c:v>
                </c:pt>
                <c:pt idx="179">
                  <c:v>114</c:v>
                </c:pt>
                <c:pt idx="180">
                  <c:v>111</c:v>
                </c:pt>
                <c:pt idx="181">
                  <c:v>105</c:v>
                </c:pt>
                <c:pt idx="182">
                  <c:v>102</c:v>
                </c:pt>
                <c:pt idx="183">
                  <c:v>102</c:v>
                </c:pt>
                <c:pt idx="184">
                  <c:v>102</c:v>
                </c:pt>
                <c:pt idx="185">
                  <c:v>102</c:v>
                </c:pt>
                <c:pt idx="186">
                  <c:v>102</c:v>
                </c:pt>
                <c:pt idx="187">
                  <c:v>102</c:v>
                </c:pt>
                <c:pt idx="188">
                  <c:v>99</c:v>
                </c:pt>
                <c:pt idx="189">
                  <c:v>99</c:v>
                </c:pt>
                <c:pt idx="190">
                  <c:v>96</c:v>
                </c:pt>
                <c:pt idx="191">
                  <c:v>96</c:v>
                </c:pt>
                <c:pt idx="192">
                  <c:v>96</c:v>
                </c:pt>
                <c:pt idx="193">
                  <c:v>93</c:v>
                </c:pt>
                <c:pt idx="194">
                  <c:v>93</c:v>
                </c:pt>
                <c:pt idx="195">
                  <c:v>93</c:v>
                </c:pt>
                <c:pt idx="196">
                  <c:v>93</c:v>
                </c:pt>
                <c:pt idx="197">
                  <c:v>93</c:v>
                </c:pt>
                <c:pt idx="198">
                  <c:v>90</c:v>
                </c:pt>
                <c:pt idx="199">
                  <c:v>90</c:v>
                </c:pt>
                <c:pt idx="200">
                  <c:v>90</c:v>
                </c:pt>
                <c:pt idx="201">
                  <c:v>87</c:v>
                </c:pt>
                <c:pt idx="202">
                  <c:v>87</c:v>
                </c:pt>
                <c:pt idx="203">
                  <c:v>87</c:v>
                </c:pt>
                <c:pt idx="204">
                  <c:v>87</c:v>
                </c:pt>
                <c:pt idx="205">
                  <c:v>87</c:v>
                </c:pt>
                <c:pt idx="206">
                  <c:v>87</c:v>
                </c:pt>
                <c:pt idx="207">
                  <c:v>84</c:v>
                </c:pt>
                <c:pt idx="208">
                  <c:v>84</c:v>
                </c:pt>
                <c:pt idx="209">
                  <c:v>84</c:v>
                </c:pt>
                <c:pt idx="210">
                  <c:v>81</c:v>
                </c:pt>
                <c:pt idx="211">
                  <c:v>81</c:v>
                </c:pt>
                <c:pt idx="212">
                  <c:v>81</c:v>
                </c:pt>
                <c:pt idx="213">
                  <c:v>81</c:v>
                </c:pt>
                <c:pt idx="214">
                  <c:v>78</c:v>
                </c:pt>
                <c:pt idx="215">
                  <c:v>78</c:v>
                </c:pt>
                <c:pt idx="216">
                  <c:v>75</c:v>
                </c:pt>
                <c:pt idx="217">
                  <c:v>75</c:v>
                </c:pt>
                <c:pt idx="218">
                  <c:v>75</c:v>
                </c:pt>
                <c:pt idx="219">
                  <c:v>75</c:v>
                </c:pt>
                <c:pt idx="220">
                  <c:v>75</c:v>
                </c:pt>
                <c:pt idx="221">
                  <c:v>75</c:v>
                </c:pt>
                <c:pt idx="222">
                  <c:v>75</c:v>
                </c:pt>
                <c:pt idx="223">
                  <c:v>75</c:v>
                </c:pt>
                <c:pt idx="224">
                  <c:v>75</c:v>
                </c:pt>
                <c:pt idx="225">
                  <c:v>72</c:v>
                </c:pt>
                <c:pt idx="226">
                  <c:v>72</c:v>
                </c:pt>
                <c:pt idx="227">
                  <c:v>72</c:v>
                </c:pt>
                <c:pt idx="228">
                  <c:v>72</c:v>
                </c:pt>
                <c:pt idx="229">
                  <c:v>69</c:v>
                </c:pt>
                <c:pt idx="230">
                  <c:v>66</c:v>
                </c:pt>
                <c:pt idx="231">
                  <c:v>63</c:v>
                </c:pt>
                <c:pt idx="232">
                  <c:v>63</c:v>
                </c:pt>
                <c:pt idx="233">
                  <c:v>63</c:v>
                </c:pt>
                <c:pt idx="234">
                  <c:v>63</c:v>
                </c:pt>
                <c:pt idx="235">
                  <c:v>63</c:v>
                </c:pt>
                <c:pt idx="236">
                  <c:v>60</c:v>
                </c:pt>
                <c:pt idx="237">
                  <c:v>57</c:v>
                </c:pt>
                <c:pt idx="238">
                  <c:v>54</c:v>
                </c:pt>
                <c:pt idx="239">
                  <c:v>54</c:v>
                </c:pt>
                <c:pt idx="240">
                  <c:v>54</c:v>
                </c:pt>
                <c:pt idx="241">
                  <c:v>54</c:v>
                </c:pt>
                <c:pt idx="242">
                  <c:v>54</c:v>
                </c:pt>
                <c:pt idx="243">
                  <c:v>54</c:v>
                </c:pt>
                <c:pt idx="244">
                  <c:v>51</c:v>
                </c:pt>
                <c:pt idx="245">
                  <c:v>51</c:v>
                </c:pt>
                <c:pt idx="246">
                  <c:v>51</c:v>
                </c:pt>
                <c:pt idx="247">
                  <c:v>51</c:v>
                </c:pt>
                <c:pt idx="248">
                  <c:v>48</c:v>
                </c:pt>
                <c:pt idx="249">
                  <c:v>48</c:v>
                </c:pt>
                <c:pt idx="250">
                  <c:v>48</c:v>
                </c:pt>
                <c:pt idx="251">
                  <c:v>48</c:v>
                </c:pt>
                <c:pt idx="252">
                  <c:v>48</c:v>
                </c:pt>
                <c:pt idx="253">
                  <c:v>48</c:v>
                </c:pt>
                <c:pt idx="254">
                  <c:v>48</c:v>
                </c:pt>
                <c:pt idx="255">
                  <c:v>45</c:v>
                </c:pt>
                <c:pt idx="256">
                  <c:v>45</c:v>
                </c:pt>
                <c:pt idx="257">
                  <c:v>45</c:v>
                </c:pt>
                <c:pt idx="258">
                  <c:v>45</c:v>
                </c:pt>
                <c:pt idx="259">
                  <c:v>42</c:v>
                </c:pt>
                <c:pt idx="260">
                  <c:v>42</c:v>
                </c:pt>
                <c:pt idx="261">
                  <c:v>42</c:v>
                </c:pt>
                <c:pt idx="262">
                  <c:v>42</c:v>
                </c:pt>
                <c:pt idx="263">
                  <c:v>39</c:v>
                </c:pt>
                <c:pt idx="264">
                  <c:v>39</c:v>
                </c:pt>
                <c:pt idx="265">
                  <c:v>39</c:v>
                </c:pt>
                <c:pt idx="266">
                  <c:v>39</c:v>
                </c:pt>
                <c:pt idx="267">
                  <c:v>36</c:v>
                </c:pt>
                <c:pt idx="268">
                  <c:v>36</c:v>
                </c:pt>
                <c:pt idx="269">
                  <c:v>36</c:v>
                </c:pt>
                <c:pt idx="270">
                  <c:v>36</c:v>
                </c:pt>
                <c:pt idx="271">
                  <c:v>36</c:v>
                </c:pt>
                <c:pt idx="272">
                  <c:v>30</c:v>
                </c:pt>
                <c:pt idx="273">
                  <c:v>30</c:v>
                </c:pt>
                <c:pt idx="274">
                  <c:v>30</c:v>
                </c:pt>
                <c:pt idx="275">
                  <c:v>30</c:v>
                </c:pt>
                <c:pt idx="276">
                  <c:v>30</c:v>
                </c:pt>
                <c:pt idx="277">
                  <c:v>27</c:v>
                </c:pt>
                <c:pt idx="278">
                  <c:v>27</c:v>
                </c:pt>
                <c:pt idx="279">
                  <c:v>27</c:v>
                </c:pt>
                <c:pt idx="280">
                  <c:v>27</c:v>
                </c:pt>
                <c:pt idx="281">
                  <c:v>27</c:v>
                </c:pt>
                <c:pt idx="282">
                  <c:v>27</c:v>
                </c:pt>
                <c:pt idx="283">
                  <c:v>24</c:v>
                </c:pt>
                <c:pt idx="284">
                  <c:v>24</c:v>
                </c:pt>
                <c:pt idx="285">
                  <c:v>21</c:v>
                </c:pt>
                <c:pt idx="286">
                  <c:v>21</c:v>
                </c:pt>
                <c:pt idx="287">
                  <c:v>21</c:v>
                </c:pt>
                <c:pt idx="288">
                  <c:v>21</c:v>
                </c:pt>
                <c:pt idx="289">
                  <c:v>21</c:v>
                </c:pt>
                <c:pt idx="290">
                  <c:v>21</c:v>
                </c:pt>
                <c:pt idx="291">
                  <c:v>18</c:v>
                </c:pt>
                <c:pt idx="292">
                  <c:v>18</c:v>
                </c:pt>
                <c:pt idx="293">
                  <c:v>18</c:v>
                </c:pt>
                <c:pt idx="294">
                  <c:v>15</c:v>
                </c:pt>
                <c:pt idx="295">
                  <c:v>15</c:v>
                </c:pt>
                <c:pt idx="296">
                  <c:v>15</c:v>
                </c:pt>
                <c:pt idx="297">
                  <c:v>15</c:v>
                </c:pt>
                <c:pt idx="298">
                  <c:v>12</c:v>
                </c:pt>
                <c:pt idx="299">
                  <c:v>12</c:v>
                </c:pt>
              </c:numCache>
            </c:numRef>
          </c:yVal>
          <c:smooth val="0"/>
          <c:extLst>
            <c:ext xmlns:c16="http://schemas.microsoft.com/office/drawing/2014/chart" uri="{C3380CC4-5D6E-409C-BE32-E72D297353CC}">
              <c16:uniqueId val="{00000000-75D7-43F9-A33B-C524CE708BD5}"/>
            </c:ext>
          </c:extLst>
        </c:ser>
        <c:dLbls>
          <c:showLegendKey val="0"/>
          <c:showVal val="0"/>
          <c:showCatName val="0"/>
          <c:showSerName val="0"/>
          <c:showPercent val="0"/>
          <c:showBubbleSize val="0"/>
        </c:dLbls>
        <c:axId val="18176191"/>
        <c:axId val="40024015"/>
      </c:scatterChart>
      <c:valAx>
        <c:axId val="181761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4015"/>
        <c:crosses val="autoZero"/>
        <c:crossBetween val="midCat"/>
      </c:valAx>
      <c:valAx>
        <c:axId val="40024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1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D85E6306-AD67-409C-8ECF-B3DDD745472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plotArea>
      <cx:plotAreaRegion>
        <cx:series layoutId="boxWhisker" uniqueId="{8C12B8C5-C32C-4727-A71F-3116C4841A94}">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_xlchart.v1.4</cx:f>
      </cx:numDim>
    </cx:data>
  </cx:chartData>
  <cx:chart>
    <cx:title pos="t" align="ctr" overlay="0"/>
    <cx:plotArea>
      <cx:plotAreaRegion>
        <cx:series layoutId="boxWhisker" uniqueId="{00000000-566D-46F8-8AD6-F683D8D9CE75}">
          <cx:tx>
            <cx:txData>
              <cx:f>_xlchart.v1.5</cx:f>
              <cx:v>Amount</cx:v>
            </cx:txData>
          </cx:tx>
          <cx:dataId val="0"/>
          <cx:layoutPr>
            <cx:visibility meanLine="0" meanMarker="1" nonoutliers="0" outliers="1"/>
            <cx:statistics quartileMethod="exclusive"/>
          </cx:layoutPr>
        </cx:series>
        <cx:series layoutId="boxWhisker" uniqueId="{00000001-566D-46F8-8AD6-F683D8D9CE75}">
          <cx:tx>
            <cx:txData>
              <cx:f>_xlchart.v1.3</cx:f>
              <cx:v>Units</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title pos="t" align="ctr" overlay="0"/>
    <cx:plotArea>
      <cx:plotAreaRegion>
        <cx:series layoutId="boxWhisker" uniqueId="{00000000-B617-43B7-8B54-4FD43144096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2.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141942</xdr:colOff>
      <xdr:row>12</xdr:row>
      <xdr:rowOff>115047</xdr:rowOff>
    </xdr:from>
    <xdr:to>
      <xdr:col>9</xdr:col>
      <xdr:colOff>216647</xdr:colOff>
      <xdr:row>25</xdr:row>
      <xdr:rowOff>29883</xdr:rowOff>
    </xdr:to>
    <xdr:graphicFrame macro="">
      <xdr:nvGraphicFramePr>
        <xdr:cNvPr id="4" name="Chart 3">
          <a:extLst>
            <a:ext uri="{FF2B5EF4-FFF2-40B4-BE49-F238E27FC236}">
              <a16:creationId xmlns:a16="http://schemas.microsoft.com/office/drawing/2014/main" id="{B3BD39A5-2570-FBA3-5DCD-E12505578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66675</xdr:colOff>
      <xdr:row>2</xdr:row>
      <xdr:rowOff>9525</xdr:rowOff>
    </xdr:from>
    <xdr:to>
      <xdr:col>12</xdr:col>
      <xdr:colOff>9525</xdr:colOff>
      <xdr:row>11</xdr:row>
      <xdr:rowOff>161925</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4BA3029F-D643-54CC-8C36-AF9AEB231AC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7058025" y="866775"/>
              <a:ext cx="3200400" cy="186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127001</xdr:rowOff>
    </xdr:from>
    <xdr:to>
      <xdr:col>9</xdr:col>
      <xdr:colOff>419100</xdr:colOff>
      <xdr:row>22</xdr:row>
      <xdr:rowOff>6350</xdr:rowOff>
    </xdr:to>
    <mc:AlternateContent xmlns:mc="http://schemas.openxmlformats.org/markup-compatibility/2006" xmlns:a14="http://schemas.microsoft.com/office/drawing/2010/main">
      <mc:Choice Requires="a14">
        <xdr:graphicFrame macro="">
          <xdr:nvGraphicFramePr>
            <xdr:cNvPr id="3" name="Sales Person 1">
              <a:extLst>
                <a:ext uri="{FF2B5EF4-FFF2-40B4-BE49-F238E27FC236}">
                  <a16:creationId xmlns:a16="http://schemas.microsoft.com/office/drawing/2014/main" id="{DA195093-0ECA-8B04-0B9F-05A08A72667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4965700" y="2819401"/>
              <a:ext cx="2451100" cy="1720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352424</xdr:colOff>
      <xdr:row>3</xdr:row>
      <xdr:rowOff>19050</xdr:rowOff>
    </xdr:from>
    <xdr:to>
      <xdr:col>9</xdr:col>
      <xdr:colOff>523875</xdr:colOff>
      <xdr:row>30</xdr:row>
      <xdr:rowOff>171450</xdr:rowOff>
    </xdr:to>
    <xdr:graphicFrame macro="">
      <xdr:nvGraphicFramePr>
        <xdr:cNvPr id="2" name="Chart 1">
          <a:extLst>
            <a:ext uri="{FF2B5EF4-FFF2-40B4-BE49-F238E27FC236}">
              <a16:creationId xmlns:a16="http://schemas.microsoft.com/office/drawing/2014/main" id="{C564977D-BE70-6716-7800-68965B2EA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390525</xdr:colOff>
      <xdr:row>4</xdr:row>
      <xdr:rowOff>28576</xdr:rowOff>
    </xdr:from>
    <xdr:to>
      <xdr:col>21</xdr:col>
      <xdr:colOff>219075</xdr:colOff>
      <xdr:row>31</xdr:row>
      <xdr:rowOff>9526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09DFA28-0107-686C-A17E-76F24B170E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121525" y="1260476"/>
              <a:ext cx="7232650" cy="5124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180975</xdr:colOff>
      <xdr:row>35</xdr:row>
      <xdr:rowOff>23811</xdr:rowOff>
    </xdr:from>
    <xdr:to>
      <xdr:col>20</xdr:col>
      <xdr:colOff>104775</xdr:colOff>
      <xdr:row>61</xdr:row>
      <xdr:rowOff>161924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4A76E4E-5543-F80F-A81B-CA1337A4C1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7175" y="7161211"/>
              <a:ext cx="12039600" cy="50911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250824</xdr:colOff>
      <xdr:row>2</xdr:row>
      <xdr:rowOff>149224</xdr:rowOff>
    </xdr:from>
    <xdr:to>
      <xdr:col>35</xdr:col>
      <xdr:colOff>527049</xdr:colOff>
      <xdr:row>18</xdr:row>
      <xdr:rowOff>158749</xdr:rowOff>
    </xdr:to>
    <xdr:graphicFrame macro="">
      <xdr:nvGraphicFramePr>
        <xdr:cNvPr id="8" name="Chart 7">
          <a:extLst>
            <a:ext uri="{FF2B5EF4-FFF2-40B4-BE49-F238E27FC236}">
              <a16:creationId xmlns:a16="http://schemas.microsoft.com/office/drawing/2014/main" id="{C4B4F451-5873-ED92-7EB5-61BEEF5F3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269875</xdr:colOff>
      <xdr:row>19</xdr:row>
      <xdr:rowOff>136525</xdr:rowOff>
    </xdr:from>
    <xdr:to>
      <xdr:col>34</xdr:col>
      <xdr:colOff>574675</xdr:colOff>
      <xdr:row>34</xdr:row>
      <xdr:rowOff>117475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65B97A1A-9897-F361-EF15-242E31A1D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018375" y="4225925"/>
              <a:ext cx="5016500" cy="28384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346074</xdr:colOff>
      <xdr:row>3</xdr:row>
      <xdr:rowOff>15874</xdr:rowOff>
    </xdr:from>
    <xdr:to>
      <xdr:col>47</xdr:col>
      <xdr:colOff>571499</xdr:colOff>
      <xdr:row>20</xdr:row>
      <xdr:rowOff>107949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FD2DC8B-95F0-B3E6-1062-8427F15835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152474" y="1057274"/>
              <a:ext cx="7629525" cy="33305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152399</xdr:colOff>
      <xdr:row>3</xdr:row>
      <xdr:rowOff>57151</xdr:rowOff>
    </xdr:from>
    <xdr:to>
      <xdr:col>10</xdr:col>
      <xdr:colOff>476250</xdr:colOff>
      <xdr:row>10</xdr:row>
      <xdr:rowOff>133351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626BB631-CEDC-6904-B019-6B0E11542F0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943474" y="1104901"/>
              <a:ext cx="2905126" cy="1409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685799</xdr:colOff>
      <xdr:row>3</xdr:row>
      <xdr:rowOff>142876</xdr:rowOff>
    </xdr:from>
    <xdr:to>
      <xdr:col>11</xdr:col>
      <xdr:colOff>47625</xdr:colOff>
      <xdr:row>9</xdr:row>
      <xdr:rowOff>161925</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EF6B33DF-10F7-7A9E-CC96-35E35D32AAF2}"/>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4429124" y="1190626"/>
              <a:ext cx="3219451" cy="1162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Altamimi" refreshedDate="46047.454163425929" createdVersion="8" refreshedVersion="8" minRefreshableVersion="3" recordCount="300" xr:uid="{50EAB2C8-6A55-400B-94A9-58F7E662D9EF}">
  <cacheSource type="worksheet">
    <worksheetSource name="data"/>
  </cacheSource>
  <cacheFields count="8">
    <cacheField name="Sales Person" numFmtId="0">
      <sharedItems count="10">
        <s v="Gigi Bohling"/>
        <s v="Carla Molina"/>
        <s v="Barr Faughny"/>
        <s v="Curtice Advani"/>
        <s v="Ches Bonnell"/>
        <s v="Oby Sorrel"/>
        <s v="Husein Augar"/>
        <s v="Ram Mahesh"/>
        <s v="Brien Boise"/>
        <s v="Gunar Cockshoot"/>
      </sharedItems>
    </cacheField>
    <cacheField name="Geography" numFmtId="0">
      <sharedItems count="6">
        <s v="Canada"/>
        <s v="Australia"/>
        <s v="UK"/>
        <s v="New Zealand"/>
        <s v="India"/>
        <s v="USA"/>
      </sharedItems>
    </cacheField>
    <cacheField name="Product" numFmtId="0">
      <sharedItems count="22">
        <s v="Drinking Coco"/>
        <s v="After Nines"/>
        <s v="Almond Choco"/>
        <s v="85% Dark Bars"/>
        <s v="Baker's Choco Chips"/>
        <s v="Choco Coated Almonds"/>
        <s v="Spicy Special Slims"/>
        <s v="Eclairs"/>
        <s v="Raspberry Choco"/>
        <s v="Mint Chip Choco"/>
        <s v="Orange Choco"/>
        <s v="Milk Bars"/>
        <s v="Organic Choco Syrup"/>
        <s v="Caramel Stuffed Bars"/>
        <s v="Peanut Butter Cubes"/>
        <s v="50% Dark Bites"/>
        <s v="White Choc"/>
        <s v="70% Dark Bites"/>
        <s v="Manuka Honey Choco"/>
        <s v="Smooth Sliky Salty"/>
        <s v="99% Dark &amp; Pure"/>
        <s v="Fruit &amp; Nut Bars"/>
      </sharedItems>
    </cacheField>
    <cacheField name="Amount" numFmtId="165">
      <sharedItems containsSemiMixedTypes="0" containsString="0" containsNumber="1" containsInteger="1" minValue="0" maxValue="16184" count="268">
        <n v="6111"/>
        <n v="5915"/>
        <n v="3549"/>
        <n v="2989"/>
        <n v="5306"/>
        <n v="6118"/>
        <n v="4991"/>
        <n v="2933"/>
        <n v="2744"/>
        <n v="2408"/>
        <n v="6818"/>
        <n v="2562"/>
        <n v="938"/>
        <n v="15610"/>
        <n v="12348"/>
        <n v="10311"/>
        <n v="11522"/>
        <n v="13391"/>
        <n v="14329"/>
        <n v="11571"/>
        <n v="16184"/>
        <n v="12950"/>
        <n v="11417"/>
        <n v="5586"/>
        <n v="798"/>
        <n v="819"/>
        <n v="7777"/>
        <n v="8463"/>
        <n v="1785"/>
        <n v="6706"/>
        <n v="3556"/>
        <n v="8008"/>
        <n v="2275"/>
        <n v="8869"/>
        <n v="2100"/>
        <n v="1904"/>
        <n v="1302"/>
        <n v="3052"/>
        <n v="6853"/>
        <n v="1932"/>
        <n v="3402"/>
        <n v="2702"/>
        <n v="4480"/>
        <n v="4326"/>
        <n v="3339"/>
        <n v="2471"/>
        <n v="4487"/>
        <n v="7308"/>
        <n v="4592"/>
        <n v="10129"/>
        <n v="3689"/>
        <n v="854"/>
        <n v="3920"/>
        <n v="3164"/>
        <n v="8841"/>
        <n v="6657"/>
        <n v="1589"/>
        <n v="4753"/>
        <n v="2870"/>
        <n v="5670"/>
        <n v="9632"/>
        <n v="5194"/>
        <n v="3507"/>
        <n v="245"/>
        <n v="1134"/>
        <n v="4858"/>
        <n v="3808"/>
        <n v="7259"/>
        <n v="1085"/>
        <n v="1778"/>
        <n v="1071"/>
        <n v="2317"/>
        <n v="5677"/>
        <n v="2415"/>
        <n v="6755"/>
        <n v="5551"/>
        <n v="385"/>
        <n v="4438"/>
        <n v="3094"/>
        <n v="2856"/>
        <n v="7833"/>
        <n v="4585"/>
        <n v="1526"/>
        <n v="6279"/>
        <n v="2464"/>
        <n v="1701"/>
        <n v="714"/>
        <n v="567"/>
        <n v="6608"/>
        <n v="3101"/>
        <n v="1274"/>
        <n v="2009"/>
        <n v="7455"/>
        <n v="7651"/>
        <n v="3752"/>
        <n v="8890"/>
        <n v="5012"/>
        <n v="9835"/>
        <n v="4242"/>
        <n v="259"/>
        <n v="5355"/>
        <n v="2639"/>
        <n v="1771"/>
        <n v="98"/>
        <n v="9926"/>
        <n v="7280"/>
        <n v="4424"/>
        <n v="966"/>
        <n v="1974"/>
        <n v="1890"/>
        <n v="861"/>
        <n v="1925"/>
        <n v="8862"/>
        <n v="4949"/>
        <n v="2954"/>
        <n v="2114"/>
        <n v="7021"/>
        <n v="6580"/>
        <n v="3864"/>
        <n v="2646"/>
        <n v="2324"/>
        <n v="7847"/>
        <n v="4725"/>
        <n v="707"/>
        <n v="4956"/>
        <n v="4018"/>
        <n v="5474"/>
        <n v="2023"/>
        <n v="21"/>
        <n v="3773"/>
        <n v="9443"/>
        <n v="973"/>
        <n v="3794"/>
        <n v="5019"/>
        <n v="4970"/>
        <n v="4305"/>
        <n v="4417"/>
        <n v="3759"/>
        <n v="42"/>
        <n v="959"/>
        <n v="6027"/>
        <n v="3983"/>
        <n v="2429"/>
        <n v="336"/>
        <n v="2205"/>
        <n v="1568"/>
        <n v="2289"/>
        <n v="1400"/>
        <n v="0"/>
        <n v="847"/>
        <n v="6860"/>
        <n v="4935"/>
        <n v="1617"/>
        <n v="357"/>
        <n v="6734"/>
        <n v="4781"/>
        <n v="3388"/>
        <n v="63"/>
        <n v="10073"/>
        <n v="7511"/>
        <n v="2212"/>
        <n v="2149"/>
        <n v="2016"/>
        <n v="2793"/>
        <n v="2142"/>
        <n v="1624"/>
        <n v="6398"/>
        <n v="6125"/>
        <n v="3850"/>
        <n v="2891"/>
        <n v="1652"/>
        <n v="1505"/>
        <n v="2436"/>
        <n v="609"/>
        <n v="7273"/>
        <n v="3472"/>
        <n v="6132"/>
        <n v="2919"/>
        <n v="2737"/>
        <n v="1428"/>
        <n v="9772"/>
        <n v="8155"/>
        <n v="2541"/>
        <n v="9506"/>
        <n v="7693"/>
        <n v="700"/>
        <n v="434"/>
        <n v="280"/>
        <n v="10304"/>
        <n v="490"/>
        <n v="168"/>
        <n v="7812"/>
        <n v="6909"/>
        <n v="3598"/>
        <n v="560"/>
        <n v="6433"/>
        <n v="8211"/>
        <n v="3262"/>
        <n v="2779"/>
        <n v="2219"/>
        <n v="1281"/>
        <n v="945"/>
        <n v="518"/>
        <n v="469"/>
        <n v="9002"/>
        <n v="3976"/>
        <n v="3192"/>
        <n v="1407"/>
        <n v="4760"/>
        <n v="6146"/>
        <n v="4606"/>
        <n v="2268"/>
        <n v="1638"/>
        <n v="497"/>
        <n v="4137"/>
        <n v="9051"/>
        <n v="7189"/>
        <n v="6454"/>
        <n v="3108"/>
        <n v="2681"/>
        <n v="1057"/>
        <n v="252"/>
        <n v="5236"/>
        <n v="3640"/>
        <n v="623"/>
        <n v="56"/>
        <n v="6748"/>
        <n v="6391"/>
        <n v="2226"/>
        <n v="525"/>
        <n v="189"/>
        <n v="182"/>
        <n v="7483"/>
        <n v="8435"/>
        <n v="6300"/>
        <n v="5775"/>
        <n v="2863"/>
        <n v="1988"/>
        <n v="1463"/>
        <n v="9198"/>
        <n v="7322"/>
        <n v="4802"/>
        <n v="630"/>
        <n v="217"/>
        <n v="9709"/>
        <n v="6370"/>
        <n v="5439"/>
        <n v="4683"/>
        <n v="4319"/>
        <n v="9660"/>
        <n v="6832"/>
        <n v="6048"/>
        <n v="3059"/>
        <n v="2135"/>
        <n v="1561"/>
        <n v="4053"/>
        <n v="3829"/>
        <n v="8813"/>
        <n v="6986"/>
        <n v="5075"/>
        <n v="2478"/>
        <n v="154"/>
        <n v="2583"/>
        <n v="238"/>
        <n v="6314"/>
        <n v="1442"/>
        <n v="553"/>
        <n v="5817"/>
      </sharedItems>
    </cacheField>
    <cacheField name="Units" numFmtId="3">
      <sharedItems containsSemiMixedTypes="0" containsString="0" containsNumber="1" containsInteger="1" minValue="0" maxValue="525"/>
    </cacheField>
    <cacheField name="Cost Per Unit" numFmtId="0">
      <sharedItems containsSemiMixedTypes="0" containsString="0" containsNumber="1" minValue="3.11" maxValue="16.73"/>
    </cacheField>
    <cacheField name="Cost" numFmtId="0">
      <sharedItems containsSemiMixedTypes="0" containsString="0" containsNumber="1" minValue="0" maxValue="8682.8700000000008"/>
    </cacheField>
    <cacheField name="Total Profit" numFmtId="165">
      <sharedItems containsSemiMixedTypes="0" containsString="0" containsNumber="1" minValue="-7884.8700000000008" maxValue="15841.19"/>
    </cacheField>
  </cacheFields>
  <extLst>
    <ext xmlns:x14="http://schemas.microsoft.com/office/spreadsheetml/2009/9/main" uri="{725AE2AE-9491-48be-B2B4-4EB974FC3084}">
      <x14:pivotCacheDefinition pivotCacheId="334976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4768517" backgroundQuery="1" createdVersion="8" refreshedVersion="8" minRefreshableVersion="3" recordCount="0" supportSubquery="1" supportAdvancedDrill="1" xr:uid="{CD992391-307E-4C8A-8A56-DC71689816A3}">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ofit %]" caption="Profit %" numFmtId="0" hierarchy="13" level="32767"/>
    <cacheField name="[data].[Geography].[Geography]" caption="Geography" numFmtId="0" hierarchy="1" level="1">
      <sharedItems containsSemiMixedTypes="0" containsNonDate="0" containsString="0"/>
    </cacheField>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oneField="1">
      <fieldsUsage count="1">
        <fieldUsage x="1"/>
      </fieldsUsage>
    </cacheHierarchy>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6620372" backgroundQuery="1" createdVersion="8" refreshedVersion="8" minRefreshableVersion="3" recordCount="0" supportSubquery="1" supportAdvancedDrill="1" xr:uid="{A7448DED-71A8-48E1-99CA-C13ADA5489B9}">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1" level="32767"/>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8935189" backgroundQuery="1" createdVersion="8" refreshedVersion="8" minRefreshableVersion="3" recordCount="0" supportSubquery="1" supportAdvancedDrill="1" xr:uid="{D0B1E653-BEB6-4195-BBFE-7BFBD8519215}">
  <cacheSource type="external" connectionId="1"/>
  <cacheFields count="3">
    <cacheField name="[data].[Geography].[Geography]" caption="Geography" numFmtId="0" hierarchy="1" level="1">
      <sharedItems count="6">
        <s v="Australia"/>
        <s v="Canada" u="1"/>
        <s v="India" u="1"/>
        <s v="New Zealand" u="1"/>
        <s v="UK" u="1"/>
        <s v="USA" u="1"/>
      </sharedItems>
    </cacheField>
    <cacheField name="[data].[Sales Person].[Sales Person]" caption="Sales Person" numFmtId="0" level="1">
      <sharedItems count="4">
        <s v="Gigi Bohling"/>
        <s v="Ches Bonnell" u="1"/>
        <s v="Barr Faughny" u="1"/>
        <s v="Ram Mahesh" u="1"/>
      </sharedItems>
    </cacheField>
    <cacheField name="[Measures].[Sum of Amount]" caption="Sum of Amount" numFmtId="0" hierarchy="8" level="32767"/>
  </cacheFields>
  <cacheHierarchies count="17">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0324074" backgroundQuery="1" createdVersion="8" refreshedVersion="8" minRefreshableVersion="3" recordCount="0" supportSubquery="1" supportAdvancedDrill="1" xr:uid="{629CCA32-34C3-43CF-BAC0-C130959EB4A2}">
  <cacheSource type="external" connectionId="1"/>
  <cacheFields count="3">
    <cacheField name="[data].[Geography].[Geography]" caption="Geography" numFmtId="0" hierarchy="1" level="1">
      <sharedItems count="6">
        <s v="Australia"/>
        <s v="Canada"/>
        <s v="India"/>
        <s v="New Zealand"/>
        <s v="UK"/>
        <s v="USA"/>
      </sharedItems>
    </cacheField>
    <cacheField name="[data].[Sales Person].[Sales Person]" caption="Sales Person" numFmtId="0" level="1">
      <sharedItems count="4">
        <s v="Gigi Bohling"/>
        <s v="Ches Bonnell"/>
        <s v="Barr Faughny"/>
        <s v="Ram Mahesh"/>
      </sharedItems>
    </cacheField>
    <cacheField name="[Measures].[Sum of Amount]" caption="Sum of Amount" numFmtId="0" hierarchy="8" level="32767"/>
  </cacheFields>
  <cacheHierarchies count="17">
    <cacheHierarchy uniqueName="[data].[Sales Person]" caption="Sales Person" attribute="1" defaultMemberUniqueName="[data].[Sales Person].[All]" allUniqueName="[data].[Sales Person].[All]" dimensionUniqueName="[data]" displayFolder="" count="2" memberValueDatatype="130" unbalanced="0">
      <fieldsUsage count="2">
        <fieldUsage x="-1"/>
        <fieldUsage x="1"/>
      </fieldsUsage>
    </cacheHierarchy>
    <cacheHierarchy uniqueName="[data].[Geography]" caption="Geography" attribute="1" defaultMemberUniqueName="[data].[Geography].[All]" allUniqueName="[data].[Geography].[All]" dimensionUniqueName="[data]" displayFolder="" count="2" memberValueDatatype="130" unbalanced="0">
      <fieldsUsage count="2">
        <fieldUsage x="-1"/>
        <fieldUsage x="0"/>
      </fieldsUsage>
    </cacheHierarchy>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4143516" backgroundQuery="1" createdVersion="8" refreshedVersion="8" minRefreshableVersion="3" recordCount="0" supportSubquery="1" supportAdvancedDrill="1" xr:uid="{D87A1BD4-DA29-4971-A915-D1AA5C246840}">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 caption="Total Profit " numFmtId="0" hierarchy="12" level="32767"/>
    <cacheField name="[data].[Geography].[Geography]" caption="Geography" numFmtId="0" hierarchy="1" level="1">
      <sharedItems containsSemiMixedTypes="0" containsNonDate="0" containsString="0"/>
    </cacheField>
  </cacheFields>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oneField="1">
      <fieldsUsage count="1">
        <fieldUsage x="1"/>
      </fieldsUsage>
    </cacheHierarchy>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71296299" backgroundQuery="1" createdVersion="3" refreshedVersion="8" minRefreshableVersion="3" recordCount="0" supportSubquery="1" supportAdvancedDrill="1" xr:uid="{9383005E-E3F4-4BF3-B0BF-4E6ED5340D69}">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06887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ez" refreshedDate="46287.850683101853" backgroundQuery="1" createdVersion="3" refreshedVersion="8" minRefreshableVersion="3" recordCount="0" supportSubquery="1" supportAdvancedDrill="1" xr:uid="{42963CDA-DA9F-44C3-A49A-0E97E9FF7FA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Total Profit]" caption="Total Profit" attribute="1" defaultMemberUniqueName="[data].[Total Profit].[All]" allUniqueName="[data].[Total Profi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 caption="Total Profit " measure="1" displayFolder="" measureGroup="data" count="0"/>
    <cacheHierarchy uniqueName="[Measures].[Profit %]" caption="Profit %" measure="1" displayFolder="" measureGroup="data" count="0"/>
    <cacheHierarchy uniqueName="[Measures].[Sales per units]" caption="Sales per units"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377295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3"/>
    <n v="6.47"/>
    <n v="19.41"/>
    <n v="6091.59"/>
  </r>
  <r>
    <x v="1"/>
    <x v="1"/>
    <x v="1"/>
    <x v="1"/>
    <n v="3"/>
    <n v="9.77"/>
    <n v="29.31"/>
    <n v="5885.69"/>
  </r>
  <r>
    <x v="2"/>
    <x v="1"/>
    <x v="2"/>
    <x v="2"/>
    <n v="3"/>
    <n v="11.88"/>
    <n v="35.64"/>
    <n v="3513.36"/>
  </r>
  <r>
    <x v="3"/>
    <x v="2"/>
    <x v="3"/>
    <x v="3"/>
    <n v="3"/>
    <n v="4.97"/>
    <n v="14.91"/>
    <n v="2974.09"/>
  </r>
  <r>
    <x v="4"/>
    <x v="3"/>
    <x v="4"/>
    <x v="4"/>
    <n v="0"/>
    <n v="5.6"/>
    <n v="0"/>
    <n v="5306"/>
  </r>
  <r>
    <x v="3"/>
    <x v="0"/>
    <x v="5"/>
    <x v="5"/>
    <n v="9"/>
    <n v="8.65"/>
    <n v="77.850000000000009"/>
    <n v="6040.15"/>
  </r>
  <r>
    <x v="5"/>
    <x v="4"/>
    <x v="4"/>
    <x v="6"/>
    <n v="9"/>
    <n v="5.6"/>
    <n v="50.4"/>
    <n v="4940.6000000000004"/>
  </r>
  <r>
    <x v="1"/>
    <x v="3"/>
    <x v="6"/>
    <x v="7"/>
    <n v="9"/>
    <n v="9"/>
    <n v="81"/>
    <n v="2852"/>
  </r>
  <r>
    <x v="0"/>
    <x v="5"/>
    <x v="2"/>
    <x v="8"/>
    <n v="9"/>
    <n v="11.88"/>
    <n v="106.92"/>
    <n v="2637.08"/>
  </r>
  <r>
    <x v="6"/>
    <x v="1"/>
    <x v="7"/>
    <x v="9"/>
    <n v="9"/>
    <n v="3.11"/>
    <n v="27.99"/>
    <n v="2380.0100000000002"/>
  </r>
  <r>
    <x v="3"/>
    <x v="3"/>
    <x v="4"/>
    <x v="10"/>
    <n v="6"/>
    <n v="5.6"/>
    <n v="33.599999999999994"/>
    <n v="6784.4"/>
  </r>
  <r>
    <x v="5"/>
    <x v="5"/>
    <x v="8"/>
    <x v="11"/>
    <n v="6"/>
    <n v="11.73"/>
    <n v="70.38"/>
    <n v="2491.62"/>
  </r>
  <r>
    <x v="3"/>
    <x v="1"/>
    <x v="9"/>
    <x v="12"/>
    <n v="6"/>
    <n v="8.7899999999999991"/>
    <n v="52.739999999999995"/>
    <n v="885.26"/>
  </r>
  <r>
    <x v="0"/>
    <x v="4"/>
    <x v="10"/>
    <x v="13"/>
    <n v="339"/>
    <n v="10.62"/>
    <n v="3600.18"/>
    <n v="12009.82"/>
  </r>
  <r>
    <x v="7"/>
    <x v="5"/>
    <x v="5"/>
    <x v="14"/>
    <n v="234"/>
    <n v="8.65"/>
    <n v="2024.1000000000001"/>
    <n v="10323.9"/>
  </r>
  <r>
    <x v="1"/>
    <x v="0"/>
    <x v="11"/>
    <x v="15"/>
    <n v="231"/>
    <n v="9.33"/>
    <n v="2155.23"/>
    <n v="8155.77"/>
  </r>
  <r>
    <x v="6"/>
    <x v="0"/>
    <x v="12"/>
    <x v="16"/>
    <n v="204"/>
    <n v="16.73"/>
    <n v="3412.92"/>
    <n v="8109.08"/>
  </r>
  <r>
    <x v="0"/>
    <x v="5"/>
    <x v="8"/>
    <x v="17"/>
    <n v="201"/>
    <n v="11.73"/>
    <n v="2357.73"/>
    <n v="11033.27"/>
  </r>
  <r>
    <x v="6"/>
    <x v="4"/>
    <x v="13"/>
    <x v="18"/>
    <n v="150"/>
    <n v="10.38"/>
    <n v="1557.0000000000002"/>
    <n v="12772"/>
  </r>
  <r>
    <x v="2"/>
    <x v="3"/>
    <x v="0"/>
    <x v="19"/>
    <n v="138"/>
    <n v="6.47"/>
    <n v="892.86"/>
    <n v="10678.14"/>
  </r>
  <r>
    <x v="0"/>
    <x v="0"/>
    <x v="9"/>
    <x v="20"/>
    <n v="39"/>
    <n v="8.7899999999999991"/>
    <n v="342.80999999999995"/>
    <n v="15841.19"/>
  </r>
  <r>
    <x v="5"/>
    <x v="2"/>
    <x v="14"/>
    <x v="21"/>
    <n v="30"/>
    <n v="12.37"/>
    <n v="371.09999999999997"/>
    <n v="12578.9"/>
  </r>
  <r>
    <x v="2"/>
    <x v="0"/>
    <x v="9"/>
    <x v="22"/>
    <n v="21"/>
    <n v="8.7899999999999991"/>
    <n v="184.58999999999997"/>
    <n v="11232.41"/>
  </r>
  <r>
    <x v="5"/>
    <x v="1"/>
    <x v="15"/>
    <x v="23"/>
    <n v="525"/>
    <n v="11.7"/>
    <n v="6142.5"/>
    <n v="-556.5"/>
  </r>
  <r>
    <x v="2"/>
    <x v="0"/>
    <x v="12"/>
    <x v="24"/>
    <n v="519"/>
    <n v="16.73"/>
    <n v="8682.8700000000008"/>
    <n v="-7884.8700000000008"/>
  </r>
  <r>
    <x v="8"/>
    <x v="1"/>
    <x v="11"/>
    <x v="25"/>
    <n v="510"/>
    <n v="9.33"/>
    <n v="4758.3"/>
    <n v="-3939.3"/>
  </r>
  <r>
    <x v="9"/>
    <x v="4"/>
    <x v="5"/>
    <x v="26"/>
    <n v="504"/>
    <n v="8.65"/>
    <n v="4359.6000000000004"/>
    <n v="3417.3999999999996"/>
  </r>
  <r>
    <x v="6"/>
    <x v="4"/>
    <x v="10"/>
    <x v="27"/>
    <n v="492"/>
    <n v="10.62"/>
    <n v="5225.04"/>
    <n v="3237.96"/>
  </r>
  <r>
    <x v="2"/>
    <x v="2"/>
    <x v="16"/>
    <x v="28"/>
    <n v="462"/>
    <n v="13.15"/>
    <n v="6075.3"/>
    <n v="-4290.3"/>
  </r>
  <r>
    <x v="8"/>
    <x v="5"/>
    <x v="5"/>
    <x v="29"/>
    <n v="459"/>
    <n v="8.65"/>
    <n v="3970.3500000000004"/>
    <n v="2735.6499999999996"/>
  </r>
  <r>
    <x v="3"/>
    <x v="3"/>
    <x v="13"/>
    <x v="30"/>
    <n v="459"/>
    <n v="10.38"/>
    <n v="4764.42"/>
    <n v="-1208.42"/>
  </r>
  <r>
    <x v="3"/>
    <x v="4"/>
    <x v="4"/>
    <x v="31"/>
    <n v="456"/>
    <n v="5.6"/>
    <n v="2553.6"/>
    <n v="5454.4"/>
  </r>
  <r>
    <x v="7"/>
    <x v="5"/>
    <x v="17"/>
    <x v="32"/>
    <n v="447"/>
    <n v="14.49"/>
    <n v="6477.03"/>
    <n v="-4202.03"/>
  </r>
  <r>
    <x v="7"/>
    <x v="5"/>
    <x v="14"/>
    <x v="33"/>
    <n v="432"/>
    <n v="12.37"/>
    <n v="5343.8399999999992"/>
    <n v="3525.1600000000008"/>
  </r>
  <r>
    <x v="3"/>
    <x v="2"/>
    <x v="16"/>
    <x v="34"/>
    <n v="414"/>
    <n v="13.15"/>
    <n v="5444.1"/>
    <n v="-3344.1000000000004"/>
  </r>
  <r>
    <x v="3"/>
    <x v="3"/>
    <x v="9"/>
    <x v="35"/>
    <n v="405"/>
    <n v="8.7899999999999991"/>
    <n v="3559.95"/>
    <n v="-1655.9499999999998"/>
  </r>
  <r>
    <x v="3"/>
    <x v="5"/>
    <x v="2"/>
    <x v="36"/>
    <n v="402"/>
    <n v="11.88"/>
    <n v="4775.76"/>
    <n v="-3473.76"/>
  </r>
  <r>
    <x v="3"/>
    <x v="2"/>
    <x v="18"/>
    <x v="37"/>
    <n v="378"/>
    <n v="7.16"/>
    <n v="2706.48"/>
    <n v="345.52"/>
  </r>
  <r>
    <x v="7"/>
    <x v="5"/>
    <x v="1"/>
    <x v="38"/>
    <n v="372"/>
    <n v="9.77"/>
    <n v="3634.44"/>
    <n v="3218.56"/>
  </r>
  <r>
    <x v="4"/>
    <x v="4"/>
    <x v="15"/>
    <x v="39"/>
    <n v="369"/>
    <n v="11.7"/>
    <n v="4317.3"/>
    <n v="-2385.3000000000002"/>
  </r>
  <r>
    <x v="3"/>
    <x v="4"/>
    <x v="17"/>
    <x v="40"/>
    <n v="366"/>
    <n v="14.49"/>
    <n v="5303.34"/>
    <n v="-1901.3400000000001"/>
  </r>
  <r>
    <x v="9"/>
    <x v="3"/>
    <x v="2"/>
    <x v="12"/>
    <n v="366"/>
    <n v="11.88"/>
    <n v="4348.08"/>
    <n v="-3410.08"/>
  </r>
  <r>
    <x v="8"/>
    <x v="5"/>
    <x v="10"/>
    <x v="41"/>
    <n v="363"/>
    <n v="10.62"/>
    <n v="3855.0599999999995"/>
    <n v="-1153.0599999999995"/>
  </r>
  <r>
    <x v="0"/>
    <x v="5"/>
    <x v="18"/>
    <x v="42"/>
    <n v="357"/>
    <n v="7.16"/>
    <n v="2556.12"/>
    <n v="1923.88"/>
  </r>
  <r>
    <x v="2"/>
    <x v="1"/>
    <x v="19"/>
    <x v="43"/>
    <n v="348"/>
    <n v="5.79"/>
    <n v="2014.92"/>
    <n v="2311.08"/>
  </r>
  <r>
    <x v="0"/>
    <x v="0"/>
    <x v="7"/>
    <x v="44"/>
    <n v="348"/>
    <n v="3.11"/>
    <n v="1082.28"/>
    <n v="2256.7200000000003"/>
  </r>
  <r>
    <x v="5"/>
    <x v="0"/>
    <x v="18"/>
    <x v="45"/>
    <n v="342"/>
    <n v="7.16"/>
    <n v="2448.7200000000003"/>
    <n v="22.279999999999745"/>
  </r>
  <r>
    <x v="4"/>
    <x v="3"/>
    <x v="9"/>
    <x v="46"/>
    <n v="333"/>
    <n v="8.7899999999999991"/>
    <n v="2927.0699999999997"/>
    <n v="1559.9300000000003"/>
  </r>
  <r>
    <x v="9"/>
    <x v="3"/>
    <x v="13"/>
    <x v="47"/>
    <n v="327"/>
    <n v="10.38"/>
    <n v="3394.26"/>
    <n v="3913.74"/>
  </r>
  <r>
    <x v="9"/>
    <x v="3"/>
    <x v="18"/>
    <x v="48"/>
    <n v="324"/>
    <n v="7.16"/>
    <n v="2319.84"/>
    <n v="2272.16"/>
  </r>
  <r>
    <x v="4"/>
    <x v="1"/>
    <x v="17"/>
    <x v="49"/>
    <n v="312"/>
    <n v="14.49"/>
    <n v="4520.88"/>
    <n v="5608.12"/>
  </r>
  <r>
    <x v="9"/>
    <x v="4"/>
    <x v="13"/>
    <x v="50"/>
    <n v="312"/>
    <n v="10.38"/>
    <n v="3238.5600000000004"/>
    <n v="450.4399999999996"/>
  </r>
  <r>
    <x v="1"/>
    <x v="0"/>
    <x v="13"/>
    <x v="51"/>
    <n v="309"/>
    <n v="10.38"/>
    <n v="3207.42"/>
    <n v="-2353.42"/>
  </r>
  <r>
    <x v="6"/>
    <x v="2"/>
    <x v="3"/>
    <x v="52"/>
    <n v="306"/>
    <n v="4.97"/>
    <n v="1520.82"/>
    <n v="2399.1800000000003"/>
  </r>
  <r>
    <x v="7"/>
    <x v="0"/>
    <x v="12"/>
    <x v="53"/>
    <n v="306"/>
    <n v="16.73"/>
    <n v="5119.38"/>
    <n v="-1955.38"/>
  </r>
  <r>
    <x v="9"/>
    <x v="5"/>
    <x v="14"/>
    <x v="25"/>
    <n v="306"/>
    <n v="12.37"/>
    <n v="3785.22"/>
    <n v="-2966.22"/>
  </r>
  <r>
    <x v="9"/>
    <x v="1"/>
    <x v="4"/>
    <x v="54"/>
    <n v="303"/>
    <n v="5.6"/>
    <n v="1696.8"/>
    <n v="7144.2"/>
  </r>
  <r>
    <x v="5"/>
    <x v="0"/>
    <x v="5"/>
    <x v="55"/>
    <n v="303"/>
    <n v="8.65"/>
    <n v="2620.9500000000003"/>
    <n v="4036.0499999999997"/>
  </r>
  <r>
    <x v="2"/>
    <x v="5"/>
    <x v="7"/>
    <x v="56"/>
    <n v="303"/>
    <n v="3.11"/>
    <n v="942.32999999999993"/>
    <n v="646.67000000000007"/>
  </r>
  <r>
    <x v="8"/>
    <x v="5"/>
    <x v="12"/>
    <x v="57"/>
    <n v="300"/>
    <n v="16.73"/>
    <n v="5019"/>
    <n v="-266"/>
  </r>
  <r>
    <x v="4"/>
    <x v="0"/>
    <x v="20"/>
    <x v="58"/>
    <n v="300"/>
    <n v="7.64"/>
    <n v="2292"/>
    <n v="578"/>
  </r>
  <r>
    <x v="7"/>
    <x v="1"/>
    <x v="11"/>
    <x v="59"/>
    <n v="297"/>
    <n v="9.33"/>
    <n v="2771.01"/>
    <n v="2898.99"/>
  </r>
  <r>
    <x v="1"/>
    <x v="0"/>
    <x v="0"/>
    <x v="60"/>
    <n v="288"/>
    <n v="6.47"/>
    <n v="1863.36"/>
    <n v="7768.64"/>
  </r>
  <r>
    <x v="4"/>
    <x v="5"/>
    <x v="13"/>
    <x v="61"/>
    <n v="288"/>
    <n v="10.38"/>
    <n v="2989.44"/>
    <n v="2204.56"/>
  </r>
  <r>
    <x v="8"/>
    <x v="4"/>
    <x v="19"/>
    <x v="62"/>
    <n v="288"/>
    <n v="5.79"/>
    <n v="1667.52"/>
    <n v="1839.48"/>
  </r>
  <r>
    <x v="5"/>
    <x v="3"/>
    <x v="6"/>
    <x v="63"/>
    <n v="288"/>
    <n v="9"/>
    <n v="2592"/>
    <n v="-2347"/>
  </r>
  <r>
    <x v="3"/>
    <x v="1"/>
    <x v="12"/>
    <x v="64"/>
    <n v="282"/>
    <n v="16.73"/>
    <n v="4717.8599999999997"/>
    <n v="-3583.8599999999997"/>
  </r>
  <r>
    <x v="5"/>
    <x v="2"/>
    <x v="6"/>
    <x v="65"/>
    <n v="279"/>
    <n v="9"/>
    <n v="2511"/>
    <n v="2347"/>
  </r>
  <r>
    <x v="5"/>
    <x v="5"/>
    <x v="0"/>
    <x v="66"/>
    <n v="279"/>
    <n v="6.47"/>
    <n v="1805.1299999999999"/>
    <n v="2002.8700000000001"/>
  </r>
  <r>
    <x v="9"/>
    <x v="4"/>
    <x v="15"/>
    <x v="67"/>
    <n v="276"/>
    <n v="11.7"/>
    <n v="3229.2"/>
    <n v="4029.8"/>
  </r>
  <r>
    <x v="9"/>
    <x v="5"/>
    <x v="8"/>
    <x v="55"/>
    <n v="276"/>
    <n v="11.73"/>
    <n v="3237.48"/>
    <n v="3419.52"/>
  </r>
  <r>
    <x v="6"/>
    <x v="3"/>
    <x v="18"/>
    <x v="68"/>
    <n v="273"/>
    <n v="7.16"/>
    <n v="1954.68"/>
    <n v="-869.68000000000006"/>
  </r>
  <r>
    <x v="4"/>
    <x v="1"/>
    <x v="0"/>
    <x v="69"/>
    <n v="270"/>
    <n v="6.47"/>
    <n v="1746.8999999999999"/>
    <n v="31.100000000000136"/>
  </r>
  <r>
    <x v="3"/>
    <x v="5"/>
    <x v="10"/>
    <x v="70"/>
    <n v="270"/>
    <n v="10.62"/>
    <n v="2867.3999999999996"/>
    <n v="-1796.3999999999996"/>
  </r>
  <r>
    <x v="5"/>
    <x v="0"/>
    <x v="21"/>
    <x v="71"/>
    <n v="261"/>
    <n v="6.49"/>
    <n v="1693.89"/>
    <n v="623.1099999999999"/>
  </r>
  <r>
    <x v="4"/>
    <x v="1"/>
    <x v="13"/>
    <x v="72"/>
    <n v="258"/>
    <n v="10.38"/>
    <n v="2678.0400000000004"/>
    <n v="2998.9599999999996"/>
  </r>
  <r>
    <x v="9"/>
    <x v="5"/>
    <x v="15"/>
    <x v="73"/>
    <n v="255"/>
    <n v="11.7"/>
    <n v="2983.5"/>
    <n v="-568.5"/>
  </r>
  <r>
    <x v="4"/>
    <x v="5"/>
    <x v="17"/>
    <x v="74"/>
    <n v="252"/>
    <n v="14.49"/>
    <n v="3651.48"/>
    <n v="3103.52"/>
  </r>
  <r>
    <x v="4"/>
    <x v="0"/>
    <x v="18"/>
    <x v="75"/>
    <n v="252"/>
    <n v="7.16"/>
    <n v="1804.32"/>
    <n v="3746.6800000000003"/>
  </r>
  <r>
    <x v="0"/>
    <x v="2"/>
    <x v="0"/>
    <x v="76"/>
    <n v="249"/>
    <n v="6.47"/>
    <n v="1611.03"/>
    <n v="-1226.03"/>
  </r>
  <r>
    <x v="0"/>
    <x v="5"/>
    <x v="19"/>
    <x v="57"/>
    <n v="246"/>
    <n v="5.79"/>
    <n v="1424.34"/>
    <n v="3328.66"/>
  </r>
  <r>
    <x v="4"/>
    <x v="2"/>
    <x v="7"/>
    <x v="77"/>
    <n v="246"/>
    <n v="3.11"/>
    <n v="765.06"/>
    <n v="3672.94"/>
  </r>
  <r>
    <x v="2"/>
    <x v="0"/>
    <x v="19"/>
    <x v="78"/>
    <n v="246"/>
    <n v="5.79"/>
    <n v="1424.34"/>
    <n v="1669.66"/>
  </r>
  <r>
    <x v="6"/>
    <x v="3"/>
    <x v="4"/>
    <x v="79"/>
    <n v="246"/>
    <n v="5.6"/>
    <n v="1377.6"/>
    <n v="1478.4"/>
  </r>
  <r>
    <x v="6"/>
    <x v="5"/>
    <x v="8"/>
    <x v="80"/>
    <n v="243"/>
    <n v="11.73"/>
    <n v="2850.3900000000003"/>
    <n v="4982.6099999999997"/>
  </r>
  <r>
    <x v="4"/>
    <x v="5"/>
    <x v="20"/>
    <x v="81"/>
    <n v="240"/>
    <n v="7.64"/>
    <n v="1833.6"/>
    <n v="2751.4"/>
  </r>
  <r>
    <x v="1"/>
    <x v="3"/>
    <x v="17"/>
    <x v="82"/>
    <n v="240"/>
    <n v="14.49"/>
    <n v="3477.6"/>
    <n v="-1951.6"/>
  </r>
  <r>
    <x v="0"/>
    <x v="4"/>
    <x v="1"/>
    <x v="83"/>
    <n v="237"/>
    <n v="9.77"/>
    <n v="2315.4899999999998"/>
    <n v="3963.51"/>
  </r>
  <r>
    <x v="9"/>
    <x v="5"/>
    <x v="16"/>
    <x v="84"/>
    <n v="234"/>
    <n v="13.15"/>
    <n v="3077.1"/>
    <n v="-613.09999999999991"/>
  </r>
  <r>
    <x v="8"/>
    <x v="1"/>
    <x v="21"/>
    <x v="85"/>
    <n v="234"/>
    <n v="6.49"/>
    <n v="1518.66"/>
    <n v="182.33999999999992"/>
  </r>
  <r>
    <x v="1"/>
    <x v="3"/>
    <x v="8"/>
    <x v="86"/>
    <n v="231"/>
    <n v="11.73"/>
    <n v="2709.63"/>
    <n v="-1995.63"/>
  </r>
  <r>
    <x v="5"/>
    <x v="5"/>
    <x v="6"/>
    <x v="87"/>
    <n v="228"/>
    <n v="9"/>
    <n v="2052"/>
    <n v="-1485"/>
  </r>
  <r>
    <x v="4"/>
    <x v="3"/>
    <x v="15"/>
    <x v="88"/>
    <n v="225"/>
    <n v="11.7"/>
    <n v="2632.5"/>
    <n v="3975.5"/>
  </r>
  <r>
    <x v="7"/>
    <x v="2"/>
    <x v="13"/>
    <x v="89"/>
    <n v="225"/>
    <n v="10.38"/>
    <n v="2335.5"/>
    <n v="765.5"/>
  </r>
  <r>
    <x v="1"/>
    <x v="4"/>
    <x v="9"/>
    <x v="90"/>
    <n v="225"/>
    <n v="8.7899999999999991"/>
    <n v="1977.7499999999998"/>
    <n v="-703.74999999999977"/>
  </r>
  <r>
    <x v="8"/>
    <x v="4"/>
    <x v="9"/>
    <x v="91"/>
    <n v="219"/>
    <n v="8.7899999999999991"/>
    <n v="1925.0099999999998"/>
    <n v="83.990000000000236"/>
  </r>
  <r>
    <x v="1"/>
    <x v="5"/>
    <x v="13"/>
    <x v="92"/>
    <n v="216"/>
    <n v="10.38"/>
    <n v="2242.0800000000004"/>
    <n v="5212.92"/>
  </r>
  <r>
    <x v="2"/>
    <x v="2"/>
    <x v="6"/>
    <x v="93"/>
    <n v="213"/>
    <n v="9"/>
    <n v="1917"/>
    <n v="5734"/>
  </r>
  <r>
    <x v="8"/>
    <x v="1"/>
    <x v="5"/>
    <x v="94"/>
    <n v="213"/>
    <n v="8.65"/>
    <n v="1842.45"/>
    <n v="1909.55"/>
  </r>
  <r>
    <x v="8"/>
    <x v="2"/>
    <x v="19"/>
    <x v="95"/>
    <n v="210"/>
    <n v="5.79"/>
    <n v="1215.9000000000001"/>
    <n v="7674.1"/>
  </r>
  <r>
    <x v="8"/>
    <x v="5"/>
    <x v="1"/>
    <x v="96"/>
    <n v="210"/>
    <n v="9.77"/>
    <n v="2051.6999999999998"/>
    <n v="2960.3"/>
  </r>
  <r>
    <x v="4"/>
    <x v="3"/>
    <x v="1"/>
    <x v="97"/>
    <n v="207"/>
    <n v="9.77"/>
    <n v="2022.3899999999999"/>
    <n v="7812.6100000000006"/>
  </r>
  <r>
    <x v="3"/>
    <x v="4"/>
    <x v="12"/>
    <x v="98"/>
    <n v="207"/>
    <n v="16.73"/>
    <n v="3463.11"/>
    <n v="778.88999999999987"/>
  </r>
  <r>
    <x v="6"/>
    <x v="3"/>
    <x v="2"/>
    <x v="99"/>
    <n v="207"/>
    <n v="11.88"/>
    <n v="2459.1600000000003"/>
    <n v="-2200.1600000000003"/>
  </r>
  <r>
    <x v="5"/>
    <x v="4"/>
    <x v="20"/>
    <x v="100"/>
    <n v="204"/>
    <n v="7.64"/>
    <n v="1558.56"/>
    <n v="3796.44"/>
  </r>
  <r>
    <x v="6"/>
    <x v="2"/>
    <x v="0"/>
    <x v="101"/>
    <n v="204"/>
    <n v="6.47"/>
    <n v="1319.8799999999999"/>
    <n v="1319.1200000000001"/>
  </r>
  <r>
    <x v="8"/>
    <x v="3"/>
    <x v="20"/>
    <x v="102"/>
    <n v="204"/>
    <n v="7.64"/>
    <n v="1558.56"/>
    <n v="212.44000000000005"/>
  </r>
  <r>
    <x v="1"/>
    <x v="0"/>
    <x v="4"/>
    <x v="103"/>
    <n v="204"/>
    <n v="5.6"/>
    <n v="1142.3999999999999"/>
    <n v="-1044.3999999999999"/>
  </r>
  <r>
    <x v="2"/>
    <x v="3"/>
    <x v="7"/>
    <x v="104"/>
    <n v="201"/>
    <n v="3.11"/>
    <n v="625.11"/>
    <n v="9300.89"/>
  </r>
  <r>
    <x v="0"/>
    <x v="4"/>
    <x v="8"/>
    <x v="105"/>
    <n v="201"/>
    <n v="11.73"/>
    <n v="2357.73"/>
    <n v="4922.2700000000004"/>
  </r>
  <r>
    <x v="7"/>
    <x v="0"/>
    <x v="11"/>
    <x v="106"/>
    <n v="201"/>
    <n v="9.33"/>
    <n v="1875.33"/>
    <n v="2548.67"/>
  </r>
  <r>
    <x v="4"/>
    <x v="2"/>
    <x v="12"/>
    <x v="107"/>
    <n v="198"/>
    <n v="16.73"/>
    <n v="3312.54"/>
    <n v="-2346.54"/>
  </r>
  <r>
    <x v="5"/>
    <x v="5"/>
    <x v="10"/>
    <x v="108"/>
    <n v="195"/>
    <n v="10.62"/>
    <n v="2070.8999999999996"/>
    <n v="-96.899999999999636"/>
  </r>
  <r>
    <x v="8"/>
    <x v="3"/>
    <x v="1"/>
    <x v="109"/>
    <n v="195"/>
    <n v="9.77"/>
    <n v="1905.1499999999999"/>
    <n v="-15.149999999999864"/>
  </r>
  <r>
    <x v="0"/>
    <x v="4"/>
    <x v="20"/>
    <x v="110"/>
    <n v="195"/>
    <n v="7.64"/>
    <n v="1489.8"/>
    <n v="-628.79999999999995"/>
  </r>
  <r>
    <x v="1"/>
    <x v="0"/>
    <x v="20"/>
    <x v="111"/>
    <n v="192"/>
    <n v="7.64"/>
    <n v="1466.8799999999999"/>
    <n v="458.12000000000012"/>
  </r>
  <r>
    <x v="4"/>
    <x v="4"/>
    <x v="3"/>
    <x v="112"/>
    <n v="189"/>
    <n v="4.97"/>
    <n v="939.32999999999993"/>
    <n v="7922.67"/>
  </r>
  <r>
    <x v="3"/>
    <x v="3"/>
    <x v="21"/>
    <x v="113"/>
    <n v="189"/>
    <n v="6.49"/>
    <n v="1226.6100000000001"/>
    <n v="3722.39"/>
  </r>
  <r>
    <x v="6"/>
    <x v="0"/>
    <x v="5"/>
    <x v="114"/>
    <n v="189"/>
    <n v="8.65"/>
    <n v="1634.8500000000001"/>
    <n v="1319.1499999999999"/>
  </r>
  <r>
    <x v="6"/>
    <x v="4"/>
    <x v="9"/>
    <x v="12"/>
    <n v="189"/>
    <n v="8.7899999999999991"/>
    <n v="1661.31"/>
    <n v="-723.31"/>
  </r>
  <r>
    <x v="1"/>
    <x v="5"/>
    <x v="8"/>
    <x v="115"/>
    <n v="186"/>
    <n v="11.73"/>
    <n v="2181.7800000000002"/>
    <n v="-67.7800000000002"/>
  </r>
  <r>
    <x v="8"/>
    <x v="2"/>
    <x v="17"/>
    <x v="116"/>
    <n v="183"/>
    <n v="14.49"/>
    <n v="2651.67"/>
    <n v="4369.33"/>
  </r>
  <r>
    <x v="2"/>
    <x v="1"/>
    <x v="13"/>
    <x v="117"/>
    <n v="183"/>
    <n v="10.38"/>
    <n v="1899.5400000000002"/>
    <n v="4680.46"/>
  </r>
  <r>
    <x v="3"/>
    <x v="5"/>
    <x v="12"/>
    <x v="118"/>
    <n v="177"/>
    <n v="16.73"/>
    <n v="2961.21"/>
    <n v="902.79"/>
  </r>
  <r>
    <x v="4"/>
    <x v="0"/>
    <x v="0"/>
    <x v="119"/>
    <n v="177"/>
    <n v="6.47"/>
    <n v="1145.19"/>
    <n v="1500.81"/>
  </r>
  <r>
    <x v="1"/>
    <x v="3"/>
    <x v="4"/>
    <x v="120"/>
    <n v="177"/>
    <n v="5.6"/>
    <n v="991.19999999999993"/>
    <n v="1332.8000000000002"/>
  </r>
  <r>
    <x v="1"/>
    <x v="4"/>
    <x v="14"/>
    <x v="121"/>
    <n v="174"/>
    <n v="12.37"/>
    <n v="2152.3799999999997"/>
    <n v="5694.6200000000008"/>
  </r>
  <r>
    <x v="1"/>
    <x v="0"/>
    <x v="17"/>
    <x v="5"/>
    <n v="174"/>
    <n v="14.49"/>
    <n v="2521.2600000000002"/>
    <n v="3596.74"/>
  </r>
  <r>
    <x v="7"/>
    <x v="5"/>
    <x v="9"/>
    <x v="122"/>
    <n v="174"/>
    <n v="8.7899999999999991"/>
    <n v="1529.4599999999998"/>
    <n v="3195.54"/>
  </r>
  <r>
    <x v="6"/>
    <x v="4"/>
    <x v="7"/>
    <x v="123"/>
    <n v="174"/>
    <n v="3.11"/>
    <n v="541.14"/>
    <n v="165.86"/>
  </r>
  <r>
    <x v="9"/>
    <x v="2"/>
    <x v="4"/>
    <x v="124"/>
    <n v="171"/>
    <n v="5.6"/>
    <n v="957.59999999999991"/>
    <n v="3998.4"/>
  </r>
  <r>
    <x v="0"/>
    <x v="2"/>
    <x v="3"/>
    <x v="125"/>
    <n v="171"/>
    <n v="4.97"/>
    <n v="849.87"/>
    <n v="3168.13"/>
  </r>
  <r>
    <x v="0"/>
    <x v="1"/>
    <x v="20"/>
    <x v="126"/>
    <n v="168"/>
    <n v="7.64"/>
    <n v="1283.52"/>
    <n v="4190.4799999999996"/>
  </r>
  <r>
    <x v="8"/>
    <x v="5"/>
    <x v="18"/>
    <x v="127"/>
    <n v="168"/>
    <n v="7.16"/>
    <n v="1202.8800000000001"/>
    <n v="820.11999999999989"/>
  </r>
  <r>
    <x v="9"/>
    <x v="2"/>
    <x v="9"/>
    <x v="128"/>
    <n v="168"/>
    <n v="8.7899999999999991"/>
    <n v="1476.7199999999998"/>
    <n v="-1455.7199999999998"/>
  </r>
  <r>
    <x v="9"/>
    <x v="0"/>
    <x v="21"/>
    <x v="129"/>
    <n v="165"/>
    <n v="6.49"/>
    <n v="1070.8500000000001"/>
    <n v="2702.1499999999996"/>
  </r>
  <r>
    <x v="2"/>
    <x v="2"/>
    <x v="10"/>
    <x v="130"/>
    <n v="162"/>
    <n v="10.62"/>
    <n v="1720.4399999999998"/>
    <n v="7722.56"/>
  </r>
  <r>
    <x v="7"/>
    <x v="4"/>
    <x v="20"/>
    <x v="125"/>
    <n v="162"/>
    <n v="7.64"/>
    <n v="1237.6799999999998"/>
    <n v="2780.32"/>
  </r>
  <r>
    <x v="9"/>
    <x v="0"/>
    <x v="13"/>
    <x v="131"/>
    <n v="162"/>
    <n v="10.38"/>
    <n v="1681.5600000000002"/>
    <n v="-708.56000000000017"/>
  </r>
  <r>
    <x v="7"/>
    <x v="4"/>
    <x v="14"/>
    <x v="132"/>
    <n v="159"/>
    <n v="12.37"/>
    <n v="1966.83"/>
    <n v="1827.17"/>
  </r>
  <r>
    <x v="6"/>
    <x v="5"/>
    <x v="4"/>
    <x v="103"/>
    <n v="159"/>
    <n v="5.6"/>
    <n v="890.4"/>
    <n v="-792.4"/>
  </r>
  <r>
    <x v="7"/>
    <x v="4"/>
    <x v="7"/>
    <x v="133"/>
    <n v="156"/>
    <n v="3.11"/>
    <n v="485.15999999999997"/>
    <n v="4533.84"/>
  </r>
  <r>
    <x v="3"/>
    <x v="0"/>
    <x v="7"/>
    <x v="134"/>
    <n v="156"/>
    <n v="3.11"/>
    <n v="485.15999999999997"/>
    <n v="4484.84"/>
  </r>
  <r>
    <x v="6"/>
    <x v="3"/>
    <x v="16"/>
    <x v="135"/>
    <n v="156"/>
    <n v="13.15"/>
    <n v="2051.4"/>
    <n v="2253.6"/>
  </r>
  <r>
    <x v="2"/>
    <x v="1"/>
    <x v="21"/>
    <x v="136"/>
    <n v="153"/>
    <n v="6.49"/>
    <n v="992.97"/>
    <n v="3424.0299999999997"/>
  </r>
  <r>
    <x v="8"/>
    <x v="0"/>
    <x v="21"/>
    <x v="133"/>
    <n v="150"/>
    <n v="6.49"/>
    <n v="973.5"/>
    <n v="4045.5"/>
  </r>
  <r>
    <x v="3"/>
    <x v="4"/>
    <x v="7"/>
    <x v="137"/>
    <n v="150"/>
    <n v="3.11"/>
    <n v="466.5"/>
    <n v="3292.5"/>
  </r>
  <r>
    <x v="8"/>
    <x v="3"/>
    <x v="17"/>
    <x v="138"/>
    <n v="150"/>
    <n v="14.49"/>
    <n v="2173.5"/>
    <n v="-2131.5"/>
  </r>
  <r>
    <x v="6"/>
    <x v="5"/>
    <x v="2"/>
    <x v="139"/>
    <n v="147"/>
    <n v="11.88"/>
    <n v="1746.3600000000001"/>
    <n v="-787.36000000000013"/>
  </r>
  <r>
    <x v="2"/>
    <x v="2"/>
    <x v="13"/>
    <x v="140"/>
    <n v="144"/>
    <n v="10.38"/>
    <n v="1494.72"/>
    <n v="4532.28"/>
  </r>
  <r>
    <x v="9"/>
    <x v="3"/>
    <x v="7"/>
    <x v="141"/>
    <n v="144"/>
    <n v="3.11"/>
    <n v="447.84"/>
    <n v="3535.16"/>
  </r>
  <r>
    <x v="6"/>
    <x v="5"/>
    <x v="12"/>
    <x v="142"/>
    <n v="144"/>
    <n v="16.73"/>
    <n v="2409.12"/>
    <n v="19.880000000000109"/>
  </r>
  <r>
    <x v="1"/>
    <x v="4"/>
    <x v="1"/>
    <x v="143"/>
    <n v="144"/>
    <n v="9.77"/>
    <n v="1406.8799999999999"/>
    <n v="-1070.8799999999999"/>
  </r>
  <r>
    <x v="5"/>
    <x v="1"/>
    <x v="1"/>
    <x v="144"/>
    <n v="141"/>
    <n v="9.77"/>
    <n v="1377.57"/>
    <n v="827.43000000000006"/>
  </r>
  <r>
    <x v="2"/>
    <x v="2"/>
    <x v="1"/>
    <x v="145"/>
    <n v="141"/>
    <n v="9.77"/>
    <n v="1377.57"/>
    <n v="190.43000000000006"/>
  </r>
  <r>
    <x v="4"/>
    <x v="4"/>
    <x v="10"/>
    <x v="144"/>
    <n v="138"/>
    <n v="10.62"/>
    <n v="1465.56"/>
    <n v="739.44"/>
  </r>
  <r>
    <x v="7"/>
    <x v="4"/>
    <x v="12"/>
    <x v="146"/>
    <n v="135"/>
    <n v="16.73"/>
    <n v="2258.5500000000002"/>
    <n v="30.449999999999818"/>
  </r>
  <r>
    <x v="3"/>
    <x v="0"/>
    <x v="18"/>
    <x v="147"/>
    <n v="135"/>
    <n v="7.16"/>
    <n v="966.6"/>
    <n v="433.4"/>
  </r>
  <r>
    <x v="3"/>
    <x v="1"/>
    <x v="14"/>
    <x v="139"/>
    <n v="135"/>
    <n v="12.37"/>
    <n v="1669.9499999999998"/>
    <n v="-710.94999999999982"/>
  </r>
  <r>
    <x v="7"/>
    <x v="2"/>
    <x v="18"/>
    <x v="148"/>
    <n v="135"/>
    <n v="7.16"/>
    <n v="966.6"/>
    <n v="-966.6"/>
  </r>
  <r>
    <x v="1"/>
    <x v="5"/>
    <x v="12"/>
    <x v="149"/>
    <n v="129"/>
    <n v="16.73"/>
    <n v="2158.17"/>
    <n v="-1311.17"/>
  </r>
  <r>
    <x v="5"/>
    <x v="1"/>
    <x v="2"/>
    <x v="150"/>
    <n v="126"/>
    <n v="11.88"/>
    <n v="1496.88"/>
    <n v="5363.12"/>
  </r>
  <r>
    <x v="1"/>
    <x v="4"/>
    <x v="21"/>
    <x v="151"/>
    <n v="126"/>
    <n v="6.49"/>
    <n v="817.74"/>
    <n v="4117.26"/>
  </r>
  <r>
    <x v="2"/>
    <x v="2"/>
    <x v="14"/>
    <x v="125"/>
    <n v="126"/>
    <n v="12.37"/>
    <n v="1558.62"/>
    <n v="2459.38"/>
  </r>
  <r>
    <x v="7"/>
    <x v="5"/>
    <x v="18"/>
    <x v="152"/>
    <n v="126"/>
    <n v="7.16"/>
    <n v="902.16"/>
    <n v="714.84"/>
  </r>
  <r>
    <x v="8"/>
    <x v="5"/>
    <x v="14"/>
    <x v="153"/>
    <n v="126"/>
    <n v="12.37"/>
    <n v="1558.62"/>
    <n v="-1201.6199999999999"/>
  </r>
  <r>
    <x v="3"/>
    <x v="4"/>
    <x v="5"/>
    <x v="154"/>
    <n v="123"/>
    <n v="8.65"/>
    <n v="1063.95"/>
    <n v="5670.05"/>
  </r>
  <r>
    <x v="3"/>
    <x v="5"/>
    <x v="17"/>
    <x v="155"/>
    <n v="123"/>
    <n v="14.49"/>
    <n v="1782.27"/>
    <n v="2998.73"/>
  </r>
  <r>
    <x v="1"/>
    <x v="3"/>
    <x v="10"/>
    <x v="156"/>
    <n v="123"/>
    <n v="10.62"/>
    <n v="1306.26"/>
    <n v="2081.7399999999998"/>
  </r>
  <r>
    <x v="3"/>
    <x v="1"/>
    <x v="11"/>
    <x v="71"/>
    <n v="123"/>
    <n v="9.33"/>
    <n v="1147.5899999999999"/>
    <n v="1169.4100000000001"/>
  </r>
  <r>
    <x v="5"/>
    <x v="1"/>
    <x v="11"/>
    <x v="157"/>
    <n v="123"/>
    <n v="9.33"/>
    <n v="1147.5899999999999"/>
    <n v="-1084.5899999999999"/>
  </r>
  <r>
    <x v="3"/>
    <x v="0"/>
    <x v="2"/>
    <x v="158"/>
    <n v="120"/>
    <n v="11.88"/>
    <n v="1425.6000000000001"/>
    <n v="8647.4"/>
  </r>
  <r>
    <x v="2"/>
    <x v="4"/>
    <x v="20"/>
    <x v="159"/>
    <n v="120"/>
    <n v="7.64"/>
    <n v="916.8"/>
    <n v="6594.2"/>
  </r>
  <r>
    <x v="6"/>
    <x v="1"/>
    <x v="9"/>
    <x v="119"/>
    <n v="120"/>
    <n v="8.7899999999999991"/>
    <n v="1054.8"/>
    <n v="1591.2"/>
  </r>
  <r>
    <x v="9"/>
    <x v="4"/>
    <x v="21"/>
    <x v="160"/>
    <n v="117"/>
    <n v="6.49"/>
    <n v="759.33"/>
    <n v="1452.67"/>
  </r>
  <r>
    <x v="4"/>
    <x v="0"/>
    <x v="19"/>
    <x v="161"/>
    <n v="117"/>
    <n v="5.79"/>
    <n v="677.43"/>
    <n v="1471.5700000000002"/>
  </r>
  <r>
    <x v="2"/>
    <x v="2"/>
    <x v="9"/>
    <x v="162"/>
    <n v="117"/>
    <n v="8.7899999999999991"/>
    <n v="1028.4299999999998"/>
    <n v="987.57000000000016"/>
  </r>
  <r>
    <x v="4"/>
    <x v="5"/>
    <x v="3"/>
    <x v="163"/>
    <n v="114"/>
    <n v="4.97"/>
    <n v="566.57999999999993"/>
    <n v="2226.42"/>
  </r>
  <r>
    <x v="6"/>
    <x v="0"/>
    <x v="16"/>
    <x v="164"/>
    <n v="114"/>
    <n v="13.15"/>
    <n v="1499.1000000000001"/>
    <n v="642.89999999999986"/>
  </r>
  <r>
    <x v="7"/>
    <x v="3"/>
    <x v="17"/>
    <x v="165"/>
    <n v="114"/>
    <n v="14.49"/>
    <n v="1651.8600000000001"/>
    <n v="-27.860000000000127"/>
  </r>
  <r>
    <x v="4"/>
    <x v="3"/>
    <x v="7"/>
    <x v="46"/>
    <n v="111"/>
    <n v="3.11"/>
    <n v="345.21"/>
    <n v="4141.79"/>
  </r>
  <r>
    <x v="0"/>
    <x v="0"/>
    <x v="17"/>
    <x v="82"/>
    <n v="105"/>
    <n v="14.49"/>
    <n v="1521.45"/>
    <n v="4.5499999999999545"/>
  </r>
  <r>
    <x v="1"/>
    <x v="3"/>
    <x v="3"/>
    <x v="166"/>
    <n v="102"/>
    <n v="4.97"/>
    <n v="506.94"/>
    <n v="5891.06"/>
  </r>
  <r>
    <x v="7"/>
    <x v="1"/>
    <x v="2"/>
    <x v="167"/>
    <n v="102"/>
    <n v="11.88"/>
    <n v="1211.76"/>
    <n v="4913.24"/>
  </r>
  <r>
    <x v="6"/>
    <x v="1"/>
    <x v="16"/>
    <x v="168"/>
    <n v="102"/>
    <n v="13.15"/>
    <n v="1341.3"/>
    <n v="2508.6999999999998"/>
  </r>
  <r>
    <x v="0"/>
    <x v="4"/>
    <x v="18"/>
    <x v="169"/>
    <n v="102"/>
    <n v="7.16"/>
    <n v="730.32"/>
    <n v="2160.6799999999998"/>
  </r>
  <r>
    <x v="9"/>
    <x v="2"/>
    <x v="13"/>
    <x v="170"/>
    <n v="102"/>
    <n v="10.38"/>
    <n v="1058.76"/>
    <n v="593.24"/>
  </r>
  <r>
    <x v="3"/>
    <x v="3"/>
    <x v="0"/>
    <x v="171"/>
    <n v="102"/>
    <n v="6.47"/>
    <n v="659.93999999999994"/>
    <n v="845.06000000000006"/>
  </r>
  <r>
    <x v="6"/>
    <x v="1"/>
    <x v="4"/>
    <x v="172"/>
    <n v="99"/>
    <n v="5.6"/>
    <n v="554.4"/>
    <n v="1881.6"/>
  </r>
  <r>
    <x v="1"/>
    <x v="5"/>
    <x v="20"/>
    <x v="173"/>
    <n v="99"/>
    <n v="7.64"/>
    <n v="756.36"/>
    <n v="-147.36000000000001"/>
  </r>
  <r>
    <x v="6"/>
    <x v="3"/>
    <x v="10"/>
    <x v="174"/>
    <n v="96"/>
    <n v="10.62"/>
    <n v="1019.52"/>
    <n v="6253.48"/>
  </r>
  <r>
    <x v="5"/>
    <x v="5"/>
    <x v="15"/>
    <x v="175"/>
    <n v="96"/>
    <n v="11.7"/>
    <n v="1123.1999999999998"/>
    <n v="2348.8000000000002"/>
  </r>
  <r>
    <x v="4"/>
    <x v="4"/>
    <x v="16"/>
    <x v="145"/>
    <n v="96"/>
    <n v="13.15"/>
    <n v="1262.4000000000001"/>
    <n v="305.59999999999991"/>
  </r>
  <r>
    <x v="7"/>
    <x v="3"/>
    <x v="12"/>
    <x v="176"/>
    <n v="93"/>
    <n v="16.73"/>
    <n v="1555.89"/>
    <n v="4576.1099999999997"/>
  </r>
  <r>
    <x v="9"/>
    <x v="4"/>
    <x v="7"/>
    <x v="177"/>
    <n v="93"/>
    <n v="3.11"/>
    <n v="289.22999999999996"/>
    <n v="2629.77"/>
  </r>
  <r>
    <x v="6"/>
    <x v="3"/>
    <x v="21"/>
    <x v="178"/>
    <n v="93"/>
    <n v="6.49"/>
    <n v="603.57000000000005"/>
    <n v="2133.4299999999998"/>
  </r>
  <r>
    <x v="0"/>
    <x v="4"/>
    <x v="14"/>
    <x v="170"/>
    <n v="93"/>
    <n v="12.37"/>
    <n v="1150.4099999999999"/>
    <n v="501.59000000000015"/>
  </r>
  <r>
    <x v="5"/>
    <x v="4"/>
    <x v="16"/>
    <x v="179"/>
    <n v="93"/>
    <n v="13.15"/>
    <n v="1222.95"/>
    <n v="205.04999999999995"/>
  </r>
  <r>
    <x v="7"/>
    <x v="0"/>
    <x v="14"/>
    <x v="180"/>
    <n v="90"/>
    <n v="12.37"/>
    <n v="1113.3"/>
    <n v="8658.7000000000007"/>
  </r>
  <r>
    <x v="6"/>
    <x v="4"/>
    <x v="21"/>
    <x v="181"/>
    <n v="90"/>
    <n v="6.49"/>
    <n v="584.1"/>
    <n v="7570.9"/>
  </r>
  <r>
    <x v="7"/>
    <x v="1"/>
    <x v="16"/>
    <x v="182"/>
    <n v="90"/>
    <n v="13.15"/>
    <n v="1183.5"/>
    <n v="1357.5"/>
  </r>
  <r>
    <x v="6"/>
    <x v="1"/>
    <x v="14"/>
    <x v="183"/>
    <n v="87"/>
    <n v="12.37"/>
    <n v="1076.1899999999998"/>
    <n v="8429.81"/>
  </r>
  <r>
    <x v="3"/>
    <x v="3"/>
    <x v="19"/>
    <x v="184"/>
    <n v="87"/>
    <n v="5.79"/>
    <n v="503.73"/>
    <n v="7189.27"/>
  </r>
  <r>
    <x v="5"/>
    <x v="4"/>
    <x v="7"/>
    <x v="185"/>
    <n v="87"/>
    <n v="3.11"/>
    <n v="270.57"/>
    <n v="429.43"/>
  </r>
  <r>
    <x v="7"/>
    <x v="1"/>
    <x v="4"/>
    <x v="173"/>
    <n v="87"/>
    <n v="5.6"/>
    <n v="487.2"/>
    <n v="121.80000000000001"/>
  </r>
  <r>
    <x v="8"/>
    <x v="3"/>
    <x v="6"/>
    <x v="186"/>
    <n v="87"/>
    <n v="9"/>
    <n v="783"/>
    <n v="-349"/>
  </r>
  <r>
    <x v="4"/>
    <x v="0"/>
    <x v="5"/>
    <x v="187"/>
    <n v="87"/>
    <n v="8.65"/>
    <n v="752.55000000000007"/>
    <n v="-472.55000000000007"/>
  </r>
  <r>
    <x v="1"/>
    <x v="0"/>
    <x v="5"/>
    <x v="188"/>
    <n v="84"/>
    <n v="8.65"/>
    <n v="726.6"/>
    <n v="9577.4"/>
  </r>
  <r>
    <x v="0"/>
    <x v="5"/>
    <x v="1"/>
    <x v="189"/>
    <n v="84"/>
    <n v="9.77"/>
    <n v="820.68"/>
    <n v="-330.67999999999995"/>
  </r>
  <r>
    <x v="8"/>
    <x v="1"/>
    <x v="1"/>
    <x v="190"/>
    <n v="84"/>
    <n v="9.77"/>
    <n v="820.68"/>
    <n v="-652.67999999999995"/>
  </r>
  <r>
    <x v="2"/>
    <x v="2"/>
    <x v="12"/>
    <x v="191"/>
    <n v="81"/>
    <n v="16.73"/>
    <n v="1355.13"/>
    <n v="6456.87"/>
  </r>
  <r>
    <x v="0"/>
    <x v="2"/>
    <x v="1"/>
    <x v="192"/>
    <n v="81"/>
    <n v="9.77"/>
    <n v="791.37"/>
    <n v="6117.63"/>
  </r>
  <r>
    <x v="8"/>
    <x v="5"/>
    <x v="17"/>
    <x v="193"/>
    <n v="81"/>
    <n v="14.49"/>
    <n v="1173.69"/>
    <n v="2424.31"/>
  </r>
  <r>
    <x v="3"/>
    <x v="3"/>
    <x v="17"/>
    <x v="194"/>
    <n v="81"/>
    <n v="14.49"/>
    <n v="1173.69"/>
    <n v="-613.69000000000005"/>
  </r>
  <r>
    <x v="8"/>
    <x v="1"/>
    <x v="6"/>
    <x v="195"/>
    <n v="78"/>
    <n v="9"/>
    <n v="702"/>
    <n v="5731"/>
  </r>
  <r>
    <x v="9"/>
    <x v="5"/>
    <x v="21"/>
    <x v="127"/>
    <n v="78"/>
    <n v="6.49"/>
    <n v="506.22"/>
    <n v="1516.78"/>
  </r>
  <r>
    <x v="2"/>
    <x v="0"/>
    <x v="18"/>
    <x v="196"/>
    <n v="75"/>
    <n v="7.16"/>
    <n v="537"/>
    <n v="7674"/>
  </r>
  <r>
    <x v="3"/>
    <x v="4"/>
    <x v="18"/>
    <x v="44"/>
    <n v="75"/>
    <n v="7.16"/>
    <n v="537"/>
    <n v="2802"/>
  </r>
  <r>
    <x v="4"/>
    <x v="4"/>
    <x v="5"/>
    <x v="197"/>
    <n v="75"/>
    <n v="8.65"/>
    <n v="648.75"/>
    <n v="2613.25"/>
  </r>
  <r>
    <x v="7"/>
    <x v="4"/>
    <x v="21"/>
    <x v="198"/>
    <n v="75"/>
    <n v="6.49"/>
    <n v="486.75"/>
    <n v="2292.25"/>
  </r>
  <r>
    <x v="3"/>
    <x v="4"/>
    <x v="9"/>
    <x v="199"/>
    <n v="75"/>
    <n v="8.7899999999999991"/>
    <n v="659.24999999999989"/>
    <n v="1559.75"/>
  </r>
  <r>
    <x v="4"/>
    <x v="1"/>
    <x v="15"/>
    <x v="200"/>
    <n v="75"/>
    <n v="11.7"/>
    <n v="877.5"/>
    <n v="403.5"/>
  </r>
  <r>
    <x v="5"/>
    <x v="0"/>
    <x v="11"/>
    <x v="201"/>
    <n v="75"/>
    <n v="9.33"/>
    <n v="699.75"/>
    <n v="245.25"/>
  </r>
  <r>
    <x v="0"/>
    <x v="3"/>
    <x v="1"/>
    <x v="202"/>
    <n v="75"/>
    <n v="9.77"/>
    <n v="732.75"/>
    <n v="-214.75"/>
  </r>
  <r>
    <x v="3"/>
    <x v="1"/>
    <x v="16"/>
    <x v="203"/>
    <n v="75"/>
    <n v="13.15"/>
    <n v="986.25"/>
    <n v="-517.25"/>
  </r>
  <r>
    <x v="7"/>
    <x v="3"/>
    <x v="18"/>
    <x v="204"/>
    <n v="72"/>
    <n v="7.16"/>
    <n v="515.52"/>
    <n v="8486.48"/>
  </r>
  <r>
    <x v="1"/>
    <x v="2"/>
    <x v="15"/>
    <x v="205"/>
    <n v="72"/>
    <n v="11.7"/>
    <n v="842.4"/>
    <n v="3133.6"/>
  </r>
  <r>
    <x v="6"/>
    <x v="2"/>
    <x v="16"/>
    <x v="206"/>
    <n v="72"/>
    <n v="13.15"/>
    <n v="946.80000000000007"/>
    <n v="2245.1999999999998"/>
  </r>
  <r>
    <x v="5"/>
    <x v="0"/>
    <x v="12"/>
    <x v="207"/>
    <n v="72"/>
    <n v="16.73"/>
    <n v="1204.56"/>
    <n v="202.44000000000005"/>
  </r>
  <r>
    <x v="1"/>
    <x v="5"/>
    <x v="11"/>
    <x v="208"/>
    <n v="69"/>
    <n v="9.33"/>
    <n v="643.77"/>
    <n v="4116.2299999999996"/>
  </r>
  <r>
    <x v="9"/>
    <x v="5"/>
    <x v="18"/>
    <x v="115"/>
    <n v="66"/>
    <n v="7.16"/>
    <n v="472.56"/>
    <n v="1641.44"/>
  </r>
  <r>
    <x v="0"/>
    <x v="0"/>
    <x v="11"/>
    <x v="209"/>
    <n v="63"/>
    <n v="9.33"/>
    <n v="587.79"/>
    <n v="5558.21"/>
  </r>
  <r>
    <x v="4"/>
    <x v="5"/>
    <x v="15"/>
    <x v="210"/>
    <n v="63"/>
    <n v="11.7"/>
    <n v="737.09999999999991"/>
    <n v="3868.9"/>
  </r>
  <r>
    <x v="8"/>
    <x v="1"/>
    <x v="12"/>
    <x v="211"/>
    <n v="63"/>
    <n v="16.73"/>
    <n v="1053.99"/>
    <n v="1214.01"/>
  </r>
  <r>
    <x v="3"/>
    <x v="2"/>
    <x v="17"/>
    <x v="212"/>
    <n v="63"/>
    <n v="14.49"/>
    <n v="912.87"/>
    <n v="725.13"/>
  </r>
  <r>
    <x v="3"/>
    <x v="0"/>
    <x v="6"/>
    <x v="213"/>
    <n v="63"/>
    <n v="9"/>
    <n v="567"/>
    <n v="-70"/>
  </r>
  <r>
    <x v="6"/>
    <x v="1"/>
    <x v="3"/>
    <x v="214"/>
    <n v="60"/>
    <n v="4.97"/>
    <n v="298.2"/>
    <n v="3838.8"/>
  </r>
  <r>
    <x v="6"/>
    <x v="0"/>
    <x v="17"/>
    <x v="215"/>
    <n v="57"/>
    <n v="14.49"/>
    <n v="825.93000000000006"/>
    <n v="8225.07"/>
  </r>
  <r>
    <x v="0"/>
    <x v="1"/>
    <x v="11"/>
    <x v="216"/>
    <n v="54"/>
    <n v="9.33"/>
    <n v="503.82"/>
    <n v="6685.18"/>
  </r>
  <r>
    <x v="4"/>
    <x v="3"/>
    <x v="17"/>
    <x v="217"/>
    <n v="54"/>
    <n v="14.49"/>
    <n v="782.46"/>
    <n v="5671.54"/>
  </r>
  <r>
    <x v="9"/>
    <x v="4"/>
    <x v="4"/>
    <x v="218"/>
    <n v="54"/>
    <n v="5.6"/>
    <n v="302.39999999999998"/>
    <n v="2805.6"/>
  </r>
  <r>
    <x v="3"/>
    <x v="1"/>
    <x v="19"/>
    <x v="219"/>
    <n v="54"/>
    <n v="5.79"/>
    <n v="312.66000000000003"/>
    <n v="2368.34"/>
  </r>
  <r>
    <x v="2"/>
    <x v="3"/>
    <x v="15"/>
    <x v="220"/>
    <n v="54"/>
    <n v="11.7"/>
    <n v="631.79999999999995"/>
    <n v="425.20000000000005"/>
  </r>
  <r>
    <x v="2"/>
    <x v="4"/>
    <x v="11"/>
    <x v="221"/>
    <n v="54"/>
    <n v="9.33"/>
    <n v="503.82"/>
    <n v="-251.82"/>
  </r>
  <r>
    <x v="0"/>
    <x v="2"/>
    <x v="4"/>
    <x v="222"/>
    <n v="51"/>
    <n v="5.6"/>
    <n v="285.59999999999997"/>
    <n v="4950.3999999999996"/>
  </r>
  <r>
    <x v="9"/>
    <x v="2"/>
    <x v="18"/>
    <x v="223"/>
    <n v="51"/>
    <n v="7.16"/>
    <n v="365.16"/>
    <n v="3274.84"/>
  </r>
  <r>
    <x v="7"/>
    <x v="1"/>
    <x v="3"/>
    <x v="224"/>
    <n v="51"/>
    <n v="4.97"/>
    <n v="253.47"/>
    <n v="369.53"/>
  </r>
  <r>
    <x v="2"/>
    <x v="1"/>
    <x v="11"/>
    <x v="225"/>
    <n v="51"/>
    <n v="9.33"/>
    <n v="475.83"/>
    <n v="-419.83"/>
  </r>
  <r>
    <x v="7"/>
    <x v="4"/>
    <x v="4"/>
    <x v="226"/>
    <n v="48"/>
    <n v="5.6"/>
    <n v="268.79999999999995"/>
    <n v="6479.2"/>
  </r>
  <r>
    <x v="4"/>
    <x v="3"/>
    <x v="14"/>
    <x v="227"/>
    <n v="48"/>
    <n v="12.37"/>
    <n v="593.76"/>
    <n v="5797.24"/>
  </r>
  <r>
    <x v="4"/>
    <x v="4"/>
    <x v="14"/>
    <x v="228"/>
    <n v="48"/>
    <n v="12.37"/>
    <n v="593.76"/>
    <n v="1632.24"/>
  </r>
  <r>
    <x v="7"/>
    <x v="5"/>
    <x v="3"/>
    <x v="212"/>
    <n v="48"/>
    <n v="4.97"/>
    <n v="238.56"/>
    <n v="1399.44"/>
  </r>
  <r>
    <x v="3"/>
    <x v="4"/>
    <x v="2"/>
    <x v="229"/>
    <n v="48"/>
    <n v="11.88"/>
    <n v="570.24"/>
    <n v="-45.240000000000009"/>
  </r>
  <r>
    <x v="2"/>
    <x v="0"/>
    <x v="7"/>
    <x v="230"/>
    <n v="48"/>
    <n v="3.11"/>
    <n v="149.28"/>
    <n v="39.72"/>
  </r>
  <r>
    <x v="0"/>
    <x v="3"/>
    <x v="19"/>
    <x v="231"/>
    <n v="48"/>
    <n v="5.79"/>
    <n v="277.92"/>
    <n v="-95.920000000000016"/>
  </r>
  <r>
    <x v="0"/>
    <x v="1"/>
    <x v="16"/>
    <x v="232"/>
    <n v="45"/>
    <n v="13.15"/>
    <n v="591.75"/>
    <n v="6891.25"/>
  </r>
  <r>
    <x v="8"/>
    <x v="3"/>
    <x v="4"/>
    <x v="83"/>
    <n v="45"/>
    <n v="5.6"/>
    <n v="251.99999999999997"/>
    <n v="6027"/>
  </r>
  <r>
    <x v="6"/>
    <x v="3"/>
    <x v="13"/>
    <x v="177"/>
    <n v="45"/>
    <n v="10.38"/>
    <n v="467.1"/>
    <n v="2451.9"/>
  </r>
  <r>
    <x v="7"/>
    <x v="1"/>
    <x v="18"/>
    <x v="182"/>
    <n v="45"/>
    <n v="7.16"/>
    <n v="322.2"/>
    <n v="2218.8000000000002"/>
  </r>
  <r>
    <x v="4"/>
    <x v="0"/>
    <x v="1"/>
    <x v="233"/>
    <n v="42"/>
    <n v="9.77"/>
    <n v="410.34"/>
    <n v="8024.66"/>
  </r>
  <r>
    <x v="9"/>
    <x v="4"/>
    <x v="16"/>
    <x v="234"/>
    <n v="42"/>
    <n v="13.15"/>
    <n v="552.30000000000007"/>
    <n v="5747.7"/>
  </r>
  <r>
    <x v="7"/>
    <x v="2"/>
    <x v="8"/>
    <x v="235"/>
    <n v="42"/>
    <n v="11.73"/>
    <n v="492.66"/>
    <n v="5282.34"/>
  </r>
  <r>
    <x v="2"/>
    <x v="3"/>
    <x v="8"/>
    <x v="236"/>
    <n v="42"/>
    <n v="11.73"/>
    <n v="492.66"/>
    <n v="2370.34"/>
  </r>
  <r>
    <x v="4"/>
    <x v="4"/>
    <x v="7"/>
    <x v="26"/>
    <n v="39"/>
    <n v="3.11"/>
    <n v="121.28999999999999"/>
    <n v="7655.71"/>
  </r>
  <r>
    <x v="9"/>
    <x v="0"/>
    <x v="16"/>
    <x v="44"/>
    <n v="39"/>
    <n v="13.15"/>
    <n v="512.85"/>
    <n v="2826.15"/>
  </r>
  <r>
    <x v="7"/>
    <x v="1"/>
    <x v="19"/>
    <x v="237"/>
    <n v="39"/>
    <n v="5.79"/>
    <n v="225.81"/>
    <n v="1762.19"/>
  </r>
  <r>
    <x v="1"/>
    <x v="4"/>
    <x v="7"/>
    <x v="238"/>
    <n v="39"/>
    <n v="3.11"/>
    <n v="121.28999999999999"/>
    <n v="1341.71"/>
  </r>
  <r>
    <x v="9"/>
    <x v="0"/>
    <x v="9"/>
    <x v="239"/>
    <n v="36"/>
    <n v="8.7899999999999991"/>
    <n v="316.43999999999994"/>
    <n v="8881.56"/>
  </r>
  <r>
    <x v="3"/>
    <x v="1"/>
    <x v="6"/>
    <x v="240"/>
    <n v="36"/>
    <n v="9"/>
    <n v="324"/>
    <n v="6998"/>
  </r>
  <r>
    <x v="2"/>
    <x v="2"/>
    <x v="8"/>
    <x v="241"/>
    <n v="36"/>
    <n v="11.73"/>
    <n v="422.28000000000003"/>
    <n v="4379.72"/>
  </r>
  <r>
    <x v="2"/>
    <x v="2"/>
    <x v="21"/>
    <x v="242"/>
    <n v="36"/>
    <n v="6.49"/>
    <n v="233.64000000000001"/>
    <n v="396.36"/>
  </r>
  <r>
    <x v="7"/>
    <x v="0"/>
    <x v="2"/>
    <x v="243"/>
    <n v="36"/>
    <n v="11.88"/>
    <n v="427.68"/>
    <n v="-210.68"/>
  </r>
  <r>
    <x v="8"/>
    <x v="3"/>
    <x v="8"/>
    <x v="244"/>
    <n v="30"/>
    <n v="11.73"/>
    <n v="351.90000000000003"/>
    <n v="9357.1"/>
  </r>
  <r>
    <x v="7"/>
    <x v="2"/>
    <x v="12"/>
    <x v="245"/>
    <n v="30"/>
    <n v="16.73"/>
    <n v="501.90000000000003"/>
    <n v="5868.1"/>
  </r>
  <r>
    <x v="7"/>
    <x v="0"/>
    <x v="16"/>
    <x v="246"/>
    <n v="30"/>
    <n v="13.15"/>
    <n v="394.5"/>
    <n v="5044.5"/>
  </r>
  <r>
    <x v="5"/>
    <x v="3"/>
    <x v="21"/>
    <x v="247"/>
    <n v="30"/>
    <n v="6.49"/>
    <n v="194.70000000000002"/>
    <n v="4488.3"/>
  </r>
  <r>
    <x v="3"/>
    <x v="0"/>
    <x v="11"/>
    <x v="248"/>
    <n v="30"/>
    <n v="9.33"/>
    <n v="279.89999999999998"/>
    <n v="4039.1"/>
  </r>
  <r>
    <x v="8"/>
    <x v="2"/>
    <x v="0"/>
    <x v="249"/>
    <n v="27"/>
    <n v="6.47"/>
    <n v="174.69"/>
    <n v="9485.31"/>
  </r>
  <r>
    <x v="6"/>
    <x v="4"/>
    <x v="6"/>
    <x v="250"/>
    <n v="27"/>
    <n v="9"/>
    <n v="243"/>
    <n v="6589"/>
  </r>
  <r>
    <x v="3"/>
    <x v="2"/>
    <x v="7"/>
    <x v="251"/>
    <n v="27"/>
    <n v="3.11"/>
    <n v="83.97"/>
    <n v="5964.03"/>
  </r>
  <r>
    <x v="5"/>
    <x v="3"/>
    <x v="13"/>
    <x v="252"/>
    <n v="27"/>
    <n v="10.38"/>
    <n v="280.26000000000005"/>
    <n v="2778.74"/>
  </r>
  <r>
    <x v="4"/>
    <x v="5"/>
    <x v="9"/>
    <x v="253"/>
    <n v="27"/>
    <n v="8.7899999999999991"/>
    <n v="237.32999999999998"/>
    <n v="1897.67"/>
  </r>
  <r>
    <x v="8"/>
    <x v="2"/>
    <x v="4"/>
    <x v="254"/>
    <n v="27"/>
    <n v="5.6"/>
    <n v="151.19999999999999"/>
    <n v="1409.8"/>
  </r>
  <r>
    <x v="5"/>
    <x v="4"/>
    <x v="1"/>
    <x v="255"/>
    <n v="24"/>
    <n v="9.77"/>
    <n v="234.48"/>
    <n v="3818.52"/>
  </r>
  <r>
    <x v="4"/>
    <x v="4"/>
    <x v="8"/>
    <x v="256"/>
    <n v="24"/>
    <n v="11.73"/>
    <n v="281.52"/>
    <n v="3547.48"/>
  </r>
  <r>
    <x v="0"/>
    <x v="3"/>
    <x v="16"/>
    <x v="257"/>
    <n v="21"/>
    <n v="13.15"/>
    <n v="276.15000000000003"/>
    <n v="8536.85"/>
  </r>
  <r>
    <x v="7"/>
    <x v="3"/>
    <x v="20"/>
    <x v="184"/>
    <n v="21"/>
    <n v="7.64"/>
    <n v="160.44"/>
    <n v="7532.56"/>
  </r>
  <r>
    <x v="0"/>
    <x v="4"/>
    <x v="12"/>
    <x v="258"/>
    <n v="21"/>
    <n v="16.73"/>
    <n v="351.33"/>
    <n v="6634.67"/>
  </r>
  <r>
    <x v="0"/>
    <x v="1"/>
    <x v="5"/>
    <x v="259"/>
    <n v="21"/>
    <n v="8.65"/>
    <n v="181.65"/>
    <n v="4893.3500000000004"/>
  </r>
  <r>
    <x v="4"/>
    <x v="5"/>
    <x v="12"/>
    <x v="260"/>
    <n v="21"/>
    <n v="16.73"/>
    <n v="351.33"/>
    <n v="2126.67"/>
  </r>
  <r>
    <x v="1"/>
    <x v="1"/>
    <x v="16"/>
    <x v="261"/>
    <n v="21"/>
    <n v="13.15"/>
    <n v="276.15000000000003"/>
    <n v="-122.15000000000003"/>
  </r>
  <r>
    <x v="9"/>
    <x v="4"/>
    <x v="10"/>
    <x v="262"/>
    <n v="18"/>
    <n v="10.62"/>
    <n v="191.16"/>
    <n v="2391.84"/>
  </r>
  <r>
    <x v="9"/>
    <x v="0"/>
    <x v="20"/>
    <x v="200"/>
    <n v="18"/>
    <n v="7.64"/>
    <n v="137.51999999999998"/>
    <n v="1143.48"/>
  </r>
  <r>
    <x v="2"/>
    <x v="3"/>
    <x v="20"/>
    <x v="263"/>
    <n v="18"/>
    <n v="7.64"/>
    <n v="137.51999999999998"/>
    <n v="100.48000000000002"/>
  </r>
  <r>
    <x v="0"/>
    <x v="0"/>
    <x v="21"/>
    <x v="264"/>
    <n v="15"/>
    <n v="6.49"/>
    <n v="97.350000000000009"/>
    <n v="6216.65"/>
  </r>
  <r>
    <x v="0"/>
    <x v="5"/>
    <x v="0"/>
    <x v="73"/>
    <n v="15"/>
    <n v="6.47"/>
    <n v="97.05"/>
    <n v="2317.9499999999998"/>
  </r>
  <r>
    <x v="3"/>
    <x v="4"/>
    <x v="8"/>
    <x v="265"/>
    <n v="15"/>
    <n v="11.73"/>
    <n v="175.95000000000002"/>
    <n v="1266.05"/>
  </r>
  <r>
    <x v="2"/>
    <x v="5"/>
    <x v="20"/>
    <x v="266"/>
    <n v="15"/>
    <n v="7.64"/>
    <n v="114.6"/>
    <n v="438.4"/>
  </r>
  <r>
    <x v="7"/>
    <x v="2"/>
    <x v="1"/>
    <x v="267"/>
    <n v="12"/>
    <n v="9.77"/>
    <n v="117.24"/>
    <n v="5699.76"/>
  </r>
  <r>
    <x v="0"/>
    <x v="3"/>
    <x v="15"/>
    <x v="6"/>
    <n v="12"/>
    <n v="11.7"/>
    <n v="140.39999999999998"/>
    <n v="4850.6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71AE04-0AC2-45A2-A338-111203E67435}" name="SalesPivot"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ies">
  <location ref="D13:G19" firstHeaderRow="0" firstDataRow="1" firstDataCol="1"/>
  <pivotFields count="8">
    <pivotField showAll="0">
      <items count="11">
        <item h="1" x="2"/>
        <item h="1" x="8"/>
        <item h="1" x="1"/>
        <item h="1" x="4"/>
        <item h="1" x="3"/>
        <item x="0"/>
        <item h="1" x="9"/>
        <item h="1" x="6"/>
        <item h="1" x="5"/>
        <item h="1" x="7"/>
        <item t="default"/>
      </items>
    </pivotField>
    <pivotField axis="axisRow" showAll="0">
      <items count="7">
        <item x="1"/>
        <item x="0"/>
        <item x="4"/>
        <item x="3"/>
        <item x="2"/>
        <item x="5"/>
        <item t="default"/>
      </items>
    </pivotField>
    <pivotField showAll="0"/>
    <pivotField dataField="1" numFmtId="165" showAll="0">
      <items count="269">
        <item x="148"/>
        <item x="128"/>
        <item x="138"/>
        <item x="225"/>
        <item x="157"/>
        <item x="103"/>
        <item x="261"/>
        <item x="190"/>
        <item x="231"/>
        <item x="230"/>
        <item x="243"/>
        <item x="263"/>
        <item x="63"/>
        <item x="221"/>
        <item x="99"/>
        <item x="187"/>
        <item x="143"/>
        <item x="153"/>
        <item x="76"/>
        <item x="186"/>
        <item x="203"/>
        <item x="189"/>
        <item x="213"/>
        <item x="202"/>
        <item x="229"/>
        <item x="266"/>
        <item x="194"/>
        <item x="87"/>
        <item x="173"/>
        <item x="224"/>
        <item x="242"/>
        <item x="185"/>
        <item x="123"/>
        <item x="86"/>
        <item x="24"/>
        <item x="25"/>
        <item x="149"/>
        <item x="51"/>
        <item x="110"/>
        <item x="12"/>
        <item x="201"/>
        <item x="139"/>
        <item x="107"/>
        <item x="131"/>
        <item x="220"/>
        <item x="70"/>
        <item x="68"/>
        <item x="64"/>
        <item x="90"/>
        <item x="200"/>
        <item x="36"/>
        <item x="147"/>
        <item x="207"/>
        <item x="179"/>
        <item x="265"/>
        <item x="238"/>
        <item x="171"/>
        <item x="82"/>
        <item x="254"/>
        <item x="145"/>
        <item x="56"/>
        <item x="152"/>
        <item x="165"/>
        <item x="212"/>
        <item x="170"/>
        <item x="85"/>
        <item x="102"/>
        <item x="69"/>
        <item x="28"/>
        <item x="109"/>
        <item x="35"/>
        <item x="111"/>
        <item x="39"/>
        <item x="108"/>
        <item x="237"/>
        <item x="91"/>
        <item x="162"/>
        <item x="127"/>
        <item x="34"/>
        <item x="115"/>
        <item x="253"/>
        <item x="164"/>
        <item x="161"/>
        <item x="144"/>
        <item x="160"/>
        <item x="199"/>
        <item x="228"/>
        <item x="211"/>
        <item x="32"/>
        <item x="146"/>
        <item x="71"/>
        <item x="120"/>
        <item x="9"/>
        <item x="73"/>
        <item x="142"/>
        <item x="172"/>
        <item x="84"/>
        <item x="45"/>
        <item x="260"/>
        <item x="182"/>
        <item x="11"/>
        <item x="262"/>
        <item x="101"/>
        <item x="119"/>
        <item x="219"/>
        <item x="41"/>
        <item x="178"/>
        <item x="8"/>
        <item x="198"/>
        <item x="163"/>
        <item x="79"/>
        <item x="236"/>
        <item x="58"/>
        <item x="169"/>
        <item x="177"/>
        <item x="7"/>
        <item x="114"/>
        <item x="3"/>
        <item x="37"/>
        <item x="252"/>
        <item x="78"/>
        <item x="89"/>
        <item x="218"/>
        <item x="53"/>
        <item x="206"/>
        <item x="197"/>
        <item x="44"/>
        <item x="156"/>
        <item x="40"/>
        <item x="175"/>
        <item x="62"/>
        <item x="2"/>
        <item x="30"/>
        <item x="193"/>
        <item x="223"/>
        <item x="50"/>
        <item x="94"/>
        <item x="137"/>
        <item x="129"/>
        <item x="132"/>
        <item x="66"/>
        <item x="256"/>
        <item x="168"/>
        <item x="118"/>
        <item x="52"/>
        <item x="205"/>
        <item x="141"/>
        <item x="125"/>
        <item x="255"/>
        <item x="214"/>
        <item x="98"/>
        <item x="135"/>
        <item x="248"/>
        <item x="43"/>
        <item x="136"/>
        <item x="106"/>
        <item x="77"/>
        <item x="42"/>
        <item x="46"/>
        <item x="81"/>
        <item x="48"/>
        <item x="210"/>
        <item x="247"/>
        <item x="122"/>
        <item x="57"/>
        <item x="208"/>
        <item x="155"/>
        <item x="241"/>
        <item x="65"/>
        <item x="151"/>
        <item x="113"/>
        <item x="124"/>
        <item x="134"/>
        <item x="6"/>
        <item x="96"/>
        <item x="133"/>
        <item x="259"/>
        <item x="61"/>
        <item x="222"/>
        <item x="4"/>
        <item x="100"/>
        <item x="246"/>
        <item x="126"/>
        <item x="75"/>
        <item x="23"/>
        <item x="59"/>
        <item x="72"/>
        <item x="235"/>
        <item x="267"/>
        <item x="1"/>
        <item x="140"/>
        <item x="251"/>
        <item x="0"/>
        <item x="5"/>
        <item x="167"/>
        <item x="176"/>
        <item x="209"/>
        <item x="83"/>
        <item x="234"/>
        <item x="264"/>
        <item x="245"/>
        <item x="227"/>
        <item x="166"/>
        <item x="195"/>
        <item x="217"/>
        <item x="117"/>
        <item x="88"/>
        <item x="55"/>
        <item x="29"/>
        <item x="154"/>
        <item x="226"/>
        <item x="74"/>
        <item x="10"/>
        <item x="250"/>
        <item x="38"/>
        <item x="150"/>
        <item x="192"/>
        <item x="258"/>
        <item x="116"/>
        <item x="216"/>
        <item x="67"/>
        <item x="174"/>
        <item x="105"/>
        <item x="47"/>
        <item x="240"/>
        <item x="92"/>
        <item x="232"/>
        <item x="159"/>
        <item x="93"/>
        <item x="184"/>
        <item x="26"/>
        <item x="191"/>
        <item x="80"/>
        <item x="121"/>
        <item x="31"/>
        <item x="181"/>
        <item x="196"/>
        <item x="233"/>
        <item x="27"/>
        <item x="257"/>
        <item x="54"/>
        <item x="112"/>
        <item x="33"/>
        <item x="95"/>
        <item x="204"/>
        <item x="215"/>
        <item x="239"/>
        <item x="130"/>
        <item x="183"/>
        <item x="60"/>
        <item x="249"/>
        <item x="244"/>
        <item x="180"/>
        <item x="97"/>
        <item x="104"/>
        <item x="158"/>
        <item x="49"/>
        <item x="188"/>
        <item x="15"/>
        <item x="22"/>
        <item x="16"/>
        <item x="19"/>
        <item x="14"/>
        <item x="21"/>
        <item x="17"/>
        <item x="18"/>
        <item x="13"/>
        <item x="20"/>
        <item t="default"/>
      </items>
    </pivotField>
    <pivotField dataField="1" numFmtId="3" showAll="0"/>
    <pivotField showAll="0"/>
    <pivotField showAll="0"/>
    <pivotField numFmtId="165" showAll="0"/>
  </pivotFields>
  <rowFields count="1">
    <field x="1"/>
  </rowFields>
  <rowItems count="6">
    <i>
      <x/>
    </i>
    <i>
      <x v="1"/>
    </i>
    <i>
      <x v="2"/>
    </i>
    <i>
      <x v="3"/>
    </i>
    <i>
      <x v="4"/>
    </i>
    <i>
      <x v="5"/>
    </i>
  </rowItems>
  <colFields count="1">
    <field x="-2"/>
  </colFields>
  <colItems count="3">
    <i>
      <x/>
    </i>
    <i i="1">
      <x v="1"/>
    </i>
    <i i="2">
      <x v="2"/>
    </i>
  </colItems>
  <dataFields count="3">
    <dataField name="Sum of Amount" fld="3" baseField="0" baseItem="0" numFmtId="165"/>
    <dataField name="Bars" fld="4" baseField="0" baseItem="0" numFmtId="3"/>
    <dataField name="Sum of Units" fld="4" baseField="0" baseItem="0" numFmtId="3"/>
  </dataField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A02B1-8711-49F7-8048-CA902D23A3A2}" name="Sales Analysis" cacheId="4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4:G10" firstHeaderRow="0" firstDataRow="1" firstDataCol="1"/>
  <pivotFields count="8">
    <pivotField showAll="0">
      <items count="11">
        <item h="1" x="2"/>
        <item h="1" x="8"/>
        <item h="1" x="1"/>
        <item h="1" x="4"/>
        <item x="3"/>
        <item h="1" x="0"/>
        <item h="1" x="9"/>
        <item h="1" x="6"/>
        <item h="1" x="5"/>
        <item h="1" x="7"/>
        <item t="default"/>
      </items>
    </pivotField>
    <pivotField axis="axisRow" showAll="0" sortType="ascending">
      <items count="7">
        <item x="1"/>
        <item x="0"/>
        <item x="4"/>
        <item x="3"/>
        <item x="2"/>
        <item x="5"/>
        <item t="default"/>
      </items>
    </pivotField>
    <pivotField showAll="0"/>
    <pivotField dataField="1" numFmtId="165" showAll="0"/>
    <pivotField dataField="1" numFmtId="3" showAll="0"/>
    <pivotField showAll="0"/>
    <pivotField showAll="0"/>
    <pivotField numFmtId="165" showAll="0"/>
  </pivotFields>
  <rowFields count="1">
    <field x="1"/>
  </rowFields>
  <rowItems count="6">
    <i>
      <x/>
    </i>
    <i>
      <x v="1"/>
    </i>
    <i>
      <x v="2"/>
    </i>
    <i>
      <x v="3"/>
    </i>
    <i>
      <x v="4"/>
    </i>
    <i>
      <x v="5"/>
    </i>
  </rowItems>
  <colFields count="1">
    <field x="-2"/>
  </colFields>
  <colItems count="3">
    <i>
      <x/>
    </i>
    <i i="1">
      <x v="1"/>
    </i>
    <i i="2">
      <x v="2"/>
    </i>
  </colItems>
  <dataFields count="3">
    <dataField name="Sum of Amount" fld="3" baseField="0" baseItem="0" numFmtId="165"/>
    <dataField name="Bars" fld="3" baseField="0" baseItem="0" numFmtId="165"/>
    <dataField name="Sum of Units" fld="4" baseField="0" baseItem="0" numFmtId="3"/>
  </dataFields>
  <conditionalFormats count="1">
    <conditionalFormat priority="2">
      <pivotAreas count="1">
        <pivotArea type="data" outline="0" collapsedLevelsAreSubtotals="1" fieldPosition="0">
          <references count="1">
            <reference field="4294967294" count="1" selected="0">
              <x v="1"/>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55360-2496-40A5-B3FD-B8FB46C14473}" name="PivotTable3" cacheId="45" applyNumberFormats="0" applyBorderFormats="0" applyFontFormats="0" applyPatternFormats="0" applyAlignmentFormats="0" applyWidthHeightFormats="1" dataCaption="Values" tag="33d89b65-9413-4ce9-b7af-e2e7cb8a3965" updatedVersion="8" minRefreshableVersion="3" useAutoFormatting="1" itemPrintTitles="1" createdVersion="8" indent="0" outline="1" outlineData="1" multipleFieldFilters="0">
  <location ref="D4:E1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E7FDD-F61C-4C9E-B492-24291E0FE7C0}" name="salesProfit"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I15" firstHeaderRow="0" firstDataRow="1" firstDataCol="1"/>
  <pivotFields count="8">
    <pivotField showAll="0"/>
    <pivotField showAll="0"/>
    <pivotField axis="axisRow" showAll="0" measureFilter="1">
      <items count="23">
        <item x="15"/>
        <item x="17"/>
        <item x="3"/>
        <item x="20"/>
        <item x="1"/>
        <item x="2"/>
        <item x="4"/>
        <item x="13"/>
        <item x="5"/>
        <item x="0"/>
        <item x="7"/>
        <item x="21"/>
        <item x="18"/>
        <item x="11"/>
        <item x="9"/>
        <item x="10"/>
        <item x="12"/>
        <item x="14"/>
        <item x="8"/>
        <item x="19"/>
        <item x="6"/>
        <item x="16"/>
        <item t="default"/>
      </items>
    </pivotField>
    <pivotField dataField="1" numFmtId="165" showAll="0"/>
    <pivotField dataField="1" numFmtId="3" showAll="0"/>
    <pivotField showAll="0"/>
    <pivotField showAll="0"/>
    <pivotField numFmtId="165" showAll="0"/>
  </pivotFields>
  <rowFields count="1">
    <field x="2"/>
  </rowFields>
  <rowItems count="11">
    <i>
      <x v="1"/>
    </i>
    <i>
      <x v="4"/>
    </i>
    <i>
      <x v="6"/>
    </i>
    <i>
      <x v="7"/>
    </i>
    <i>
      <x v="8"/>
    </i>
    <i>
      <x v="10"/>
    </i>
    <i>
      <x v="14"/>
    </i>
    <i>
      <x v="16"/>
    </i>
    <i>
      <x v="17"/>
    </i>
    <i>
      <x v="18"/>
    </i>
    <i t="grand">
      <x/>
    </i>
  </rowItems>
  <colFields count="1">
    <field x="-2"/>
  </colFields>
  <colItems count="2">
    <i>
      <x/>
    </i>
    <i i="1">
      <x v="1"/>
    </i>
  </colItems>
  <dataFields count="2">
    <dataField name="Sum of Amount" fld="3" baseField="0" baseItem="0" numFmtId="165"/>
    <dataField name="Sum of Units" fld="4" baseField="0" baseItem="0" numFmtId="3"/>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C7A95-3ED4-42AC-A4A5-A1238329333D}" name="PivotTable17"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4:L7"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s>
  <rowFields count="2">
    <field x="0"/>
    <field x="1"/>
  </rowFields>
  <rowItems count="3">
    <i>
      <x/>
    </i>
    <i r="1">
      <x/>
    </i>
    <i t="grand">
      <x/>
    </i>
  </rowItems>
  <colItems count="1">
    <i/>
  </colItems>
  <dataFields count="1">
    <dataField name="Sum of Amount" fld="2" baseField="0" baseItem="0" numFmtId="170"/>
  </dataFields>
  <formats count="13">
    <format dxfId="13">
      <pivotArea outline="0" collapsedLevelsAreSubtotals="1" fieldPosition="0"/>
    </format>
    <format dxfId="12">
      <pivotArea collapsedLevelsAreSubtotals="1" fieldPosition="0">
        <references count="2">
          <reference field="0" count="1" selected="0">
            <x v="0"/>
          </reference>
          <reference field="1" count="1">
            <x v="0"/>
          </reference>
        </references>
      </pivotArea>
    </format>
    <format dxfId="11">
      <pivotArea collapsedLevelsAreSubtotals="1" fieldPosition="0">
        <references count="1">
          <reference field="0" count="1">
            <x v="1"/>
          </reference>
        </references>
      </pivotArea>
    </format>
    <format dxfId="10">
      <pivotArea collapsedLevelsAreSubtotals="1" fieldPosition="0">
        <references count="2">
          <reference field="0" count="1" selected="0">
            <x v="1"/>
          </reference>
          <reference field="1" count="1">
            <x v="0"/>
          </reference>
        </references>
      </pivotArea>
    </format>
    <format dxfId="9">
      <pivotArea collapsedLevelsAreSubtotals="1" fieldPosition="0">
        <references count="1">
          <reference field="0" count="1">
            <x v="2"/>
          </reference>
        </references>
      </pivotArea>
    </format>
    <format dxfId="8">
      <pivotArea collapsedLevelsAreSubtotals="1" fieldPosition="0">
        <references count="2">
          <reference field="0" count="1" selected="0">
            <x v="2"/>
          </reference>
          <reference field="1" count="1">
            <x v="0"/>
          </reference>
        </references>
      </pivotArea>
    </format>
    <format dxfId="7">
      <pivotArea collapsedLevelsAreSubtotals="1" fieldPosition="0">
        <references count="1">
          <reference field="0" count="1">
            <x v="3"/>
          </reference>
        </references>
      </pivotArea>
    </format>
    <format dxfId="6">
      <pivotArea collapsedLevelsAreSubtotals="1" fieldPosition="0">
        <references count="2">
          <reference field="0" count="1" selected="0">
            <x v="3"/>
          </reference>
          <reference field="1" count="1">
            <x v="1"/>
          </reference>
        </references>
      </pivotArea>
    </format>
    <format dxfId="5">
      <pivotArea collapsedLevelsAreSubtotals="1" fieldPosition="0">
        <references count="1">
          <reference field="0" count="1">
            <x v="4"/>
          </reference>
        </references>
      </pivotArea>
    </format>
    <format dxfId="4">
      <pivotArea collapsedLevelsAreSubtotals="1" fieldPosition="0">
        <references count="2">
          <reference field="0" count="1" selected="0">
            <x v="4"/>
          </reference>
          <reference field="1" count="1">
            <x v="2"/>
          </reference>
        </references>
      </pivotArea>
    </format>
    <format dxfId="3">
      <pivotArea collapsedLevelsAreSubtotals="1" fieldPosition="0">
        <references count="1">
          <reference field="0" count="1">
            <x v="5"/>
          </reference>
        </references>
      </pivotArea>
    </format>
    <format dxfId="2">
      <pivotArea collapsedLevelsAreSubtotals="1" fieldPosition="0">
        <references count="2">
          <reference field="0" count="1" selected="0">
            <x v="5"/>
          </reference>
          <reference field="1" count="1">
            <x v="3"/>
          </reference>
        </references>
      </pivotArea>
    </format>
    <format dxfId="1">
      <pivotArea grandRow="1"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8">
      <autoFilter ref="A1">
        <filterColumn colId="0">
          <top10 val="1" filterVal="1"/>
        </filterColumn>
      </autoFilter>
    </filter>
    <filter fld="0" type="count" evalOrder="1" id="2" iMeasureHier="8">
      <autoFilter ref="A1">
        <filterColumn colId="0">
          <top10 top="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B62F2-A254-464B-9F00-38DF7C716363}" name="PivotTable16"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7" firstHeaderRow="1" firstDataRow="1" firstDataCol="1"/>
  <pivotFields count="3">
    <pivotField axis="axisRow" allDrilled="1" subtotalTop="0" showAll="0" dataSourceSort="1" defaultSubtotal="0" defaultAttributeDrillState="1">
      <items count="6">
        <item x="0"/>
        <item x="1"/>
        <item x="2"/>
        <item x="3"/>
        <item x="4"/>
        <item x="5"/>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s>
  <rowFields count="2">
    <field x="0"/>
    <field x="1"/>
  </rowFields>
  <rowItems count="13">
    <i>
      <x/>
    </i>
    <i r="1">
      <x/>
    </i>
    <i>
      <x v="1"/>
    </i>
    <i r="1">
      <x/>
    </i>
    <i>
      <x v="2"/>
    </i>
    <i r="1">
      <x/>
    </i>
    <i>
      <x v="3"/>
    </i>
    <i r="1">
      <x v="1"/>
    </i>
    <i>
      <x v="4"/>
    </i>
    <i r="1">
      <x v="2"/>
    </i>
    <i>
      <x v="5"/>
    </i>
    <i r="1">
      <x v="3"/>
    </i>
    <i t="grand">
      <x/>
    </i>
  </rowItems>
  <colItems count="1">
    <i/>
  </colItems>
  <dataFields count="1">
    <dataField name="Sum of Amount" fld="2" baseField="0" baseItem="0" numFmtId="170"/>
  </dataFields>
  <formats count="13">
    <format dxfId="26">
      <pivotArea outline="0" collapsedLevelsAreSubtotals="1" fieldPosition="0"/>
    </format>
    <format dxfId="25">
      <pivotArea collapsedLevelsAreSubtotals="1" fieldPosition="0">
        <references count="2">
          <reference field="0" count="1" selected="0">
            <x v="0"/>
          </reference>
          <reference field="1" count="1">
            <x v="0"/>
          </reference>
        </references>
      </pivotArea>
    </format>
    <format dxfId="24">
      <pivotArea collapsedLevelsAreSubtotals="1" fieldPosition="0">
        <references count="1">
          <reference field="0" count="1">
            <x v="1"/>
          </reference>
        </references>
      </pivotArea>
    </format>
    <format dxfId="23">
      <pivotArea collapsedLevelsAreSubtotals="1" fieldPosition="0">
        <references count="2">
          <reference field="0" count="1" selected="0">
            <x v="1"/>
          </reference>
          <reference field="1" count="1">
            <x v="0"/>
          </reference>
        </references>
      </pivotArea>
    </format>
    <format dxfId="22">
      <pivotArea collapsedLevelsAreSubtotals="1" fieldPosition="0">
        <references count="1">
          <reference field="0" count="1">
            <x v="2"/>
          </reference>
        </references>
      </pivotArea>
    </format>
    <format dxfId="21">
      <pivotArea collapsedLevelsAreSubtotals="1" fieldPosition="0">
        <references count="2">
          <reference field="0" count="1" selected="0">
            <x v="2"/>
          </reference>
          <reference field="1" count="1">
            <x v="0"/>
          </reference>
        </references>
      </pivotArea>
    </format>
    <format dxfId="20">
      <pivotArea collapsedLevelsAreSubtotals="1" fieldPosition="0">
        <references count="1">
          <reference field="0" count="1">
            <x v="3"/>
          </reference>
        </references>
      </pivotArea>
    </format>
    <format dxfId="19">
      <pivotArea collapsedLevelsAreSubtotals="1" fieldPosition="0">
        <references count="2">
          <reference field="0" count="1" selected="0">
            <x v="3"/>
          </reference>
          <reference field="1" count="1">
            <x v="1"/>
          </reference>
        </references>
      </pivotArea>
    </format>
    <format dxfId="18">
      <pivotArea collapsedLevelsAreSubtotals="1" fieldPosition="0">
        <references count="1">
          <reference field="0" count="1">
            <x v="4"/>
          </reference>
        </references>
      </pivotArea>
    </format>
    <format dxfId="17">
      <pivotArea collapsedLevelsAreSubtotals="1" fieldPosition="0">
        <references count="2">
          <reference field="0" count="1" selected="0">
            <x v="4"/>
          </reference>
          <reference field="1" count="1">
            <x v="2"/>
          </reference>
        </references>
      </pivotArea>
    </format>
    <format dxfId="16">
      <pivotArea collapsedLevelsAreSubtotals="1" fieldPosition="0">
        <references count="1">
          <reference field="0" count="1">
            <x v="5"/>
          </reference>
        </references>
      </pivotArea>
    </format>
    <format dxfId="15">
      <pivotArea collapsedLevelsAreSubtotals="1" fieldPosition="0">
        <references count="2">
          <reference field="0" count="1" selected="0">
            <x v="5"/>
          </reference>
          <reference field="1" count="1">
            <x v="3"/>
          </reference>
        </references>
      </pivotArea>
    </format>
    <format dxfId="14">
      <pivotArea grandRow="1" outline="0" collapsedLevelsAreSubtotals="1"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8">
      <autoFilter ref="A1">
        <filterColumn colId="0">
          <top10 val="1" filterVal="1"/>
        </filterColumn>
      </autoFilter>
    </filter>
  </filters>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8DE18A-9E78-4F37-879A-F5C359BABE49}" name="PivotTable18"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27" firstHeaderRow="1" firstDataRow="1" firstDataCol="1"/>
  <pivotFields count="3">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107811-1518-43E6-8CFE-729D9A1EFEC9}" name="PivotTable2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27" firstHeaderRow="1" firstDataRow="1" firstDataCol="1"/>
  <pivotFields count="3">
    <pivotField axis="axisRow" allDrilled="1" subtotalTop="0" showAll="0"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3">
    <i>
      <x v="10"/>
    </i>
    <i>
      <x v="2"/>
    </i>
    <i>
      <x v="6"/>
    </i>
    <i>
      <x v="11"/>
    </i>
    <i>
      <x v="9"/>
    </i>
    <i>
      <x v="19"/>
    </i>
    <i>
      <x v="18"/>
    </i>
    <i>
      <x v="8"/>
    </i>
    <i>
      <x v="4"/>
    </i>
    <i>
      <x v="14"/>
    </i>
    <i>
      <x v="20"/>
    </i>
    <i>
      <x v="17"/>
    </i>
    <i>
      <x v="3"/>
    </i>
    <i>
      <x v="12"/>
    </i>
    <i>
      <x v="13"/>
    </i>
    <i>
      <x v="15"/>
    </i>
    <i>
      <x v="7"/>
    </i>
    <i>
      <x v="21"/>
    </i>
    <i>
      <x/>
    </i>
    <i>
      <x v="5"/>
    </i>
    <i>
      <x v="1"/>
    </i>
    <i>
      <x v="16"/>
    </i>
    <i t="grand">
      <x/>
    </i>
  </rowItems>
  <colItems count="1">
    <i/>
  </colItems>
  <dataFields count="1">
    <dataField fld="1" subtotal="count" baseField="0" baseItem="0"/>
  </dataFields>
  <conditionalFormats count="2">
    <conditionalFormat type="all"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collapsedLevelsAreSubtotals="1" fieldPosition="0">
          <references count="2">
            <reference field="4294967294" count="1" selected="0">
              <x v="0"/>
            </reference>
            <reference field="0" count="22">
              <x v="0"/>
              <x v="1"/>
              <x v="2"/>
              <x v="3"/>
              <x v="4"/>
              <x v="5"/>
              <x v="6"/>
              <x v="7"/>
              <x v="8"/>
              <x v="9"/>
              <x v="10"/>
              <x v="11"/>
              <x v="12"/>
              <x v="13"/>
              <x v="14"/>
              <x v="15"/>
              <x v="16"/>
              <x v="17"/>
              <x v="18"/>
              <x v="19"/>
              <x v="20"/>
              <x v="21"/>
            </reference>
          </references>
        </pivotArea>
      </pivotAreas>
    </conditionalFormat>
  </conditionalFormats>
  <pivotHierarchies count="1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 With Tas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62A1C44-683F-467E-91A7-5AEB6A82960A}" sourceName="Sales Person">
  <pivotTables>
    <pivotTable tabId="5" name="Sales Analysis"/>
  </pivotTables>
  <data>
    <tabular pivotCacheId="334976076">
      <items count="10">
        <i x="2"/>
        <i x="8"/>
        <i x="1"/>
        <i x="4"/>
        <i x="3" s="1"/>
        <i x="0"/>
        <i x="9"/>
        <i x="6"/>
        <i x="5"/>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BE40298-6F5F-4834-8CC9-03817D8D4330}" sourceName="[data].[Geography]">
  <pivotTables>
    <pivotTable tabId="9" name="PivotTable18"/>
  </pivotTables>
  <data>
    <olap pivotCacheId="161377295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C7C68F7-75F1-4F1C-9D18-060ACEB89DC4}" sourceName="[data].[Geography]">
  <pivotTables>
    <pivotTable tabId="11" name="PivotTable21"/>
  </pivotTables>
  <data>
    <olap pivotCacheId="64068870">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1" xr10:uid="{7DF8B41D-90AF-421F-B9BF-A137F226309A}" sourceName="Sales Person">
  <pivotTables>
    <pivotTable tabId="5" name="SalesPivot"/>
  </pivotTables>
  <data>
    <tabular pivotCacheId="334976076">
      <items count="10">
        <i x="2"/>
        <i x="8"/>
        <i x="1"/>
        <i x="4"/>
        <i x="3"/>
        <i x="0" s="1"/>
        <i x="9"/>
        <i x="6"/>
        <i x="5"/>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FC6A077-B300-4760-962E-26139E4A59DC}" cache="Slicer_Sales_Person" caption="Sales Person" columnCount="2" rowHeight="241300"/>
  <slicer name="Sales Person 1" xr10:uid="{A5BF895E-DC79-4ABD-A68D-127356058DE8}" cache="Slicer_Sales_Person1" caption="Sales Person" columnCount="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2E5D6C5F-A322-4B44-85FF-F629ED8AC2B5}" cache="Slicer_Geography" caption="Geography"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DF633DD0-E174-41FC-ABAD-1321CBE67D96}" cache="Slicer_Geography1" caption="Geography"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AA11:AB33" totalsRowShown="0">
  <autoFilter ref="AA11:AB33" xr:uid="{6DAC1E92-D947-4232-891E-65555AD7A47E}"/>
  <tableColumns count="2">
    <tableColumn id="1" xr3:uid="{1B8963D1-E60F-4400-A175-651A513B826F}" name="Product"/>
    <tableColumn id="2" xr3:uid="{1798A7DA-FB9F-46D3-AA0A-B6BCA4A81AC3}" name="Cost per unit"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312C13-0059-4379-B05D-0AC774EF7B5D}" name="data" displayName="data" ref="C11:J311" totalsRowShown="0" headerRowDxfId="43">
  <autoFilter ref="C11:J311" xr:uid="{A6312C13-0059-4379-B05D-0AC774EF7B5D}"/>
  <sortState xmlns:xlrd2="http://schemas.microsoft.com/office/spreadsheetml/2017/richdata2" ref="C12:G311">
    <sortCondition sortBy="cellColor" ref="G11:G311" dxfId="42"/>
  </sortState>
  <tableColumns count="8">
    <tableColumn id="1" xr3:uid="{07D9913B-7C32-4C9C-BCA3-23539329F23E}" name="Sales Person"/>
    <tableColumn id="2" xr3:uid="{BBC8B240-52D2-4357-90DA-D5EC7D108521}" name="Geography"/>
    <tableColumn id="3" xr3:uid="{EADF99B6-33D5-4F04-970E-199EE9D659AB}" name="Product"/>
    <tableColumn id="4" xr3:uid="{35C3A854-B3E5-43CE-8AFB-235E1B68537F}" name="Amount" dataDxfId="41"/>
    <tableColumn id="5" xr3:uid="{5F5E9186-01E0-4C0E-AE30-285565AD25E9}" name="Units" dataDxfId="40"/>
    <tableColumn id="6" xr3:uid="{420C9B0A-8509-410A-9FE7-937ADF21AE84}" name="Cost Per Unit" dataDxfId="39">
      <calculatedColumnFormula>_xlfn.XLOOKUP(data[[#This Row],[Product]], products[Product],products[Cost per unit])</calculatedColumnFormula>
    </tableColumn>
    <tableColumn id="7" xr3:uid="{602D9378-9803-4B6A-821D-9F2EB60329D0}" name="Cost" dataDxfId="38">
      <calculatedColumnFormula>data[[#This Row],[Cost Per Unit]]*data[[#This Row],[Units]]</calculatedColumnFormula>
    </tableColumn>
    <tableColumn id="8" xr3:uid="{EBFDE736-E990-48BE-8123-A2FF4432DC93}" name="Total Profit" dataDxfId="37">
      <calculatedColumnFormula>data[[#This Row],[Amount]]-data[[#This Row],[Cost]]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9645FE-293C-48DB-82E4-93F7D368B0AE}" name="Table4" displayName="Table4" ref="B4:D11" totalsRowShown="0">
  <autoFilter ref="B4:D11" xr:uid="{6B9645FE-293C-48DB-82E4-93F7D368B0AE}"/>
  <tableColumns count="3">
    <tableColumn id="1" xr3:uid="{046752FF-D7AE-425F-981F-3F8C735DCC90}" name="Statistics"/>
    <tableColumn id="2" xr3:uid="{A6D05E9B-E6AD-4DB9-9CA9-2B753CF1D1C4}" name="Amount " dataDxfId="36"/>
    <tableColumn id="3" xr3:uid="{959C0E78-4AE2-468B-8F32-DF881E30F8AA}" name="Units" dataDxfId="3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16D845-3E30-4618-84A9-1D4FE82953C7}" name="Table5" displayName="Table5" ref="L3:S303" totalsRowShown="0">
  <autoFilter ref="L3:S303" xr:uid="{4B16D845-3E30-4618-84A9-1D4FE82953C7}"/>
  <sortState xmlns:xlrd2="http://schemas.microsoft.com/office/spreadsheetml/2017/richdata2" ref="L4:S303">
    <sortCondition sortBy="cellColor" ref="O3:O303" dxfId="34"/>
  </sortState>
  <tableColumns count="8">
    <tableColumn id="1" xr3:uid="{94F41928-D865-45DA-9F0A-C31B408EA637}" name="Sales Person"/>
    <tableColumn id="2" xr3:uid="{63D644DF-6FF1-4803-B48F-C9457BB14945}" name="Geography"/>
    <tableColumn id="3" xr3:uid="{70D0AFDE-51B2-434B-9D00-F4550972946C}" name="Product"/>
    <tableColumn id="4" xr3:uid="{D22F5E7D-A086-4861-8012-8263EC6DBBB2}" name="Amount" dataDxfId="33"/>
    <tableColumn id="5" xr3:uid="{8E7DB687-7C93-4FF7-8341-D44493159A70}" name="Units"/>
    <tableColumn id="6" xr3:uid="{1D882AA6-0279-4F79-9DD3-8693835D77E2}" name="Cost Per Unit"/>
    <tableColumn id="7" xr3:uid="{AC0EFC55-582C-4740-AF10-121ED9EB4EE8}" name="Cost"/>
    <tableColumn id="8" xr3:uid="{7D649927-0BF5-4D52-9F5F-FA9D0A753F37}" name="Total Profi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A0CFC2-7551-4577-8D52-E33B93FFACEB}" name="Table57" displayName="Table57" ref="K4:R304" totalsRowShown="0">
  <autoFilter ref="K4:R304" xr:uid="{80A0CFC2-7551-4577-8D52-E33B93FFACEB}"/>
  <sortState xmlns:xlrd2="http://schemas.microsoft.com/office/spreadsheetml/2017/richdata2" ref="K5:R304">
    <sortCondition sortBy="cellColor" ref="N3:N303" dxfId="32"/>
  </sortState>
  <tableColumns count="8">
    <tableColumn id="1" xr3:uid="{4D4F6DFD-6B8F-4A20-B938-48497627A66E}" name="Sales Person"/>
    <tableColumn id="2" xr3:uid="{AF7C73AA-F2EA-4958-AE21-937BEDA036A7}" name="Geography"/>
    <tableColumn id="3" xr3:uid="{AB500626-35F2-42B0-8990-FC10E62EE677}" name="Product"/>
    <tableColumn id="4" xr3:uid="{D1378496-ABB9-4564-93A8-4C381520072E}" name="Amount" dataDxfId="31"/>
    <tableColumn id="5" xr3:uid="{31B81811-D486-47D7-B25B-E534B4924CF2}" name="Units"/>
    <tableColumn id="6" xr3:uid="{06713BB3-F25D-444C-8024-9569BB0605EC}" name="Cost Per Unit"/>
    <tableColumn id="7" xr3:uid="{59A9C0FF-34F9-4D0B-952E-A6417E58D998}" name="Cost"/>
    <tableColumn id="8" xr3:uid="{A9537B74-990D-42E1-A609-6B3B5C00715D}" name="Total Profi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7F05A1-3D99-4095-8F95-1AC85D5811C8}" name="data4" displayName="data4" ref="W4:AA304" totalsRowShown="0" headerRowDxfId="30">
  <autoFilter ref="W4:AA304" xr:uid="{F07F05A1-3D99-4095-8F95-1AC85D5811C8}"/>
  <sortState xmlns:xlrd2="http://schemas.microsoft.com/office/spreadsheetml/2017/richdata2" ref="W5:AA304">
    <sortCondition sortBy="cellColor" ref="AA11:AA311" dxfId="29"/>
  </sortState>
  <tableColumns count="5">
    <tableColumn id="1" xr3:uid="{8BD3EBCE-0680-4500-AE25-FB228CBECC2E}" name="Sales Person"/>
    <tableColumn id="2" xr3:uid="{473A2F26-43CB-4451-942F-7BB0D06BEFB8}" name="Geography"/>
    <tableColumn id="3" xr3:uid="{6FD54065-44F1-4EA6-84DF-205FCF05BAC5}" name="Product"/>
    <tableColumn id="4" xr3:uid="{01E9F407-2062-48D7-8FE9-AD2745D9F0E6}" name="Amount" dataDxfId="28"/>
    <tableColumn id="5" xr3:uid="{DBCBB1B1-4139-43D5-BFBE-FF767754513E}" name="Units" dataDxfId="2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ECCC-21CC-43B2-9450-45935128A0D4}">
  <dimension ref="A1"/>
  <sheetViews>
    <sheetView zoomScale="58" workbookViewId="0">
      <selection activeCell="Q15" sqref="Q15"/>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B658"/>
  <sheetViews>
    <sheetView showGridLines="0" tabSelected="1" zoomScaleNormal="100" workbookViewId="0">
      <selection activeCell="C1" sqref="C1"/>
    </sheetView>
  </sheetViews>
  <sheetFormatPr baseColWidth="10" defaultColWidth="8.83203125" defaultRowHeight="15" x14ac:dyDescent="0.2"/>
  <cols>
    <col min="1" max="1" width="1.6640625" customWidth="1"/>
    <col min="2" max="2" width="3.6640625" customWidth="1"/>
    <col min="3" max="3" width="19.5" customWidth="1"/>
    <col min="4" max="4" width="14.6640625" customWidth="1"/>
    <col min="5" max="5" width="21.83203125" bestFit="1" customWidth="1"/>
    <col min="6" max="6" width="13.5" customWidth="1"/>
    <col min="7" max="7" width="11.6640625" customWidth="1"/>
    <col min="8" max="8" width="14.83203125" bestFit="1" customWidth="1"/>
    <col min="9" max="9" width="15" customWidth="1"/>
    <col min="10" max="10" width="13.1640625" bestFit="1" customWidth="1"/>
    <col min="12" max="12" width="10" bestFit="1" customWidth="1"/>
    <col min="13" max="13" width="53.83203125" customWidth="1"/>
    <col min="27" max="27" width="21.83203125" bestFit="1" customWidth="1"/>
    <col min="28" max="28" width="14.5" customWidth="1"/>
    <col min="33" max="33" width="21.83203125" customWidth="1"/>
  </cols>
  <sheetData>
    <row r="1" spans="1:28" s="1" customFormat="1" ht="52.5" customHeight="1" x14ac:dyDescent="0.2">
      <c r="A1" s="11"/>
      <c r="C1" s="2"/>
    </row>
    <row r="11" spans="1:28" x14ac:dyDescent="0.2">
      <c r="C11" s="5" t="s">
        <v>11</v>
      </c>
      <c r="D11" s="5" t="s">
        <v>12</v>
      </c>
      <c r="E11" s="5" t="s">
        <v>0</v>
      </c>
      <c r="F11" s="9" t="s">
        <v>1</v>
      </c>
      <c r="G11" s="9" t="s">
        <v>49</v>
      </c>
      <c r="H11" s="5" t="s">
        <v>79</v>
      </c>
      <c r="I11" s="5" t="s">
        <v>80</v>
      </c>
      <c r="J11" s="5" t="s">
        <v>89</v>
      </c>
      <c r="L11" s="8" t="s">
        <v>42</v>
      </c>
      <c r="M11" s="1"/>
      <c r="AA11" t="s">
        <v>0</v>
      </c>
      <c r="AB11" t="s">
        <v>50</v>
      </c>
    </row>
    <row r="12" spans="1:28" x14ac:dyDescent="0.2">
      <c r="C12" t="s">
        <v>5</v>
      </c>
      <c r="D12" t="s">
        <v>36</v>
      </c>
      <c r="E12" t="s">
        <v>18</v>
      </c>
      <c r="F12" s="3">
        <v>6111</v>
      </c>
      <c r="G12" s="4">
        <v>3</v>
      </c>
      <c r="H12">
        <f>_xlfn.XLOOKUP(data[[#This Row],[Product]], products[Product],products[Cost per unit])</f>
        <v>6.47</v>
      </c>
      <c r="I12">
        <f>data[[#This Row],[Cost Per Unit]]*data[[#This Row],[Units]]</f>
        <v>19.41</v>
      </c>
      <c r="J12" s="3">
        <f>data[[#This Row],[Amount]]-data[[#This Row],[Cost]]</f>
        <v>6091.59</v>
      </c>
      <c r="L12" s="6">
        <v>1</v>
      </c>
      <c r="M12" s="7" t="s">
        <v>43</v>
      </c>
      <c r="AA12" t="s">
        <v>13</v>
      </c>
      <c r="AB12" s="10">
        <v>9.33</v>
      </c>
    </row>
    <row r="13" spans="1:28" x14ac:dyDescent="0.2">
      <c r="C13" t="s">
        <v>41</v>
      </c>
      <c r="D13" t="s">
        <v>38</v>
      </c>
      <c r="E13" t="s">
        <v>22</v>
      </c>
      <c r="F13" s="3">
        <v>5915</v>
      </c>
      <c r="G13" s="4">
        <v>3</v>
      </c>
      <c r="H13">
        <f>_xlfn.XLOOKUP(data[[#This Row],[Product]], products[Product],products[Cost per unit])</f>
        <v>9.77</v>
      </c>
      <c r="I13">
        <f>data[[#This Row],[Cost Per Unit]]*data[[#This Row],[Units]]</f>
        <v>29.31</v>
      </c>
      <c r="J13" s="3">
        <f>data[[#This Row],[Amount]]-data[[#This Row],[Cost]]</f>
        <v>5885.69</v>
      </c>
      <c r="L13" s="6">
        <v>2</v>
      </c>
      <c r="M13" s="7" t="s">
        <v>52</v>
      </c>
      <c r="AA13" t="s">
        <v>14</v>
      </c>
      <c r="AB13" s="10">
        <v>11.7</v>
      </c>
    </row>
    <row r="14" spans="1:28" x14ac:dyDescent="0.2">
      <c r="C14" t="s">
        <v>2</v>
      </c>
      <c r="D14" t="s">
        <v>38</v>
      </c>
      <c r="E14" t="s">
        <v>4</v>
      </c>
      <c r="F14" s="3">
        <v>3549</v>
      </c>
      <c r="G14" s="4">
        <v>3</v>
      </c>
      <c r="H14">
        <f>_xlfn.XLOOKUP(data[[#This Row],[Product]], products[Product],products[Cost per unit])</f>
        <v>11.88</v>
      </c>
      <c r="I14">
        <f>data[[#This Row],[Cost Per Unit]]*data[[#This Row],[Units]]</f>
        <v>35.64</v>
      </c>
      <c r="J14" s="3">
        <f>data[[#This Row],[Amount]]-data[[#This Row],[Cost]]</f>
        <v>3513.36</v>
      </c>
      <c r="L14" s="6">
        <v>3</v>
      </c>
      <c r="M14" s="7" t="s">
        <v>44</v>
      </c>
      <c r="AA14" t="s">
        <v>4</v>
      </c>
      <c r="AB14" s="10">
        <v>11.88</v>
      </c>
    </row>
    <row r="15" spans="1:28" x14ac:dyDescent="0.2">
      <c r="C15" t="s">
        <v>6</v>
      </c>
      <c r="D15" t="s">
        <v>39</v>
      </c>
      <c r="E15" t="s">
        <v>24</v>
      </c>
      <c r="F15" s="3">
        <v>2989</v>
      </c>
      <c r="G15" s="4">
        <v>3</v>
      </c>
      <c r="H15">
        <f>_xlfn.XLOOKUP(data[[#This Row],[Product]], products[Product],products[Cost per unit])</f>
        <v>4.97</v>
      </c>
      <c r="I15">
        <f>data[[#This Row],[Cost Per Unit]]*data[[#This Row],[Units]]</f>
        <v>14.91</v>
      </c>
      <c r="J15" s="3">
        <f>data[[#This Row],[Amount]]-data[[#This Row],[Cost]]</f>
        <v>2974.09</v>
      </c>
      <c r="L15" s="6">
        <v>4</v>
      </c>
      <c r="M15" s="7" t="s">
        <v>45</v>
      </c>
      <c r="AA15" t="s">
        <v>15</v>
      </c>
      <c r="AB15" s="10">
        <v>11.73</v>
      </c>
    </row>
    <row r="16" spans="1:28" x14ac:dyDescent="0.2">
      <c r="C16" t="s">
        <v>7</v>
      </c>
      <c r="D16" t="s">
        <v>37</v>
      </c>
      <c r="E16" t="s">
        <v>26</v>
      </c>
      <c r="F16" s="3">
        <v>5306</v>
      </c>
      <c r="G16" s="4">
        <v>0</v>
      </c>
      <c r="H16">
        <f>_xlfn.XLOOKUP(data[[#This Row],[Product]], products[Product],products[Cost per unit])</f>
        <v>5.6</v>
      </c>
      <c r="I16">
        <f>data[[#This Row],[Cost Per Unit]]*data[[#This Row],[Units]]</f>
        <v>0</v>
      </c>
      <c r="J16" s="3">
        <f>data[[#This Row],[Amount]]-data[[#This Row],[Cost]]</f>
        <v>5306</v>
      </c>
      <c r="L16" s="6">
        <v>5</v>
      </c>
      <c r="M16" s="7" t="s">
        <v>53</v>
      </c>
      <c r="AA16" t="s">
        <v>16</v>
      </c>
      <c r="AB16" s="10">
        <v>8.7899999999999991</v>
      </c>
    </row>
    <row r="17" spans="3:28" x14ac:dyDescent="0.2">
      <c r="C17" t="s">
        <v>6</v>
      </c>
      <c r="D17" t="s">
        <v>36</v>
      </c>
      <c r="E17" t="s">
        <v>32</v>
      </c>
      <c r="F17" s="3">
        <v>6118</v>
      </c>
      <c r="G17" s="4">
        <v>9</v>
      </c>
      <c r="H17">
        <f>_xlfn.XLOOKUP(data[[#This Row],[Product]], products[Product],products[Cost per unit])</f>
        <v>8.65</v>
      </c>
      <c r="I17">
        <f>data[[#This Row],[Cost Per Unit]]*data[[#This Row],[Units]]</f>
        <v>77.850000000000009</v>
      </c>
      <c r="J17" s="3">
        <f>data[[#This Row],[Amount]]-data[[#This Row],[Cost]]</f>
        <v>6040.15</v>
      </c>
      <c r="L17" s="6">
        <v>6</v>
      </c>
      <c r="M17" s="7" t="s">
        <v>54</v>
      </c>
      <c r="AA17" t="s">
        <v>17</v>
      </c>
      <c r="AB17" s="10">
        <v>3.11</v>
      </c>
    </row>
    <row r="18" spans="3:28" x14ac:dyDescent="0.2">
      <c r="C18" t="s">
        <v>10</v>
      </c>
      <c r="D18" t="s">
        <v>34</v>
      </c>
      <c r="E18" t="s">
        <v>26</v>
      </c>
      <c r="F18" s="3">
        <v>4991</v>
      </c>
      <c r="G18" s="4">
        <v>9</v>
      </c>
      <c r="H18">
        <f>_xlfn.XLOOKUP(data[[#This Row],[Product]], products[Product],products[Cost per unit])</f>
        <v>5.6</v>
      </c>
      <c r="I18">
        <f>data[[#This Row],[Cost Per Unit]]*data[[#This Row],[Units]]</f>
        <v>50.4</v>
      </c>
      <c r="J18" s="3">
        <f>data[[#This Row],[Amount]]-data[[#This Row],[Cost]]</f>
        <v>4940.6000000000004</v>
      </c>
      <c r="L18" s="6">
        <v>7</v>
      </c>
      <c r="M18" s="7" t="s">
        <v>48</v>
      </c>
      <c r="AA18" t="s">
        <v>18</v>
      </c>
      <c r="AB18" s="10">
        <v>6.47</v>
      </c>
    </row>
    <row r="19" spans="3:28" x14ac:dyDescent="0.2">
      <c r="C19" t="s">
        <v>41</v>
      </c>
      <c r="D19" t="s">
        <v>37</v>
      </c>
      <c r="E19" t="s">
        <v>21</v>
      </c>
      <c r="F19" s="3">
        <v>2933</v>
      </c>
      <c r="G19" s="4">
        <v>9</v>
      </c>
      <c r="H19">
        <f>_xlfn.XLOOKUP(data[[#This Row],[Product]], products[Product],products[Cost per unit])</f>
        <v>9</v>
      </c>
      <c r="I19">
        <f>data[[#This Row],[Cost Per Unit]]*data[[#This Row],[Units]]</f>
        <v>81</v>
      </c>
      <c r="J19" s="3">
        <f>data[[#This Row],[Amount]]-data[[#This Row],[Cost]]</f>
        <v>2852</v>
      </c>
      <c r="L19" s="6">
        <v>8</v>
      </c>
      <c r="M19" s="7" t="s">
        <v>51</v>
      </c>
      <c r="AA19" t="s">
        <v>19</v>
      </c>
      <c r="AB19" s="10">
        <v>7.64</v>
      </c>
    </row>
    <row r="20" spans="3:28" x14ac:dyDescent="0.2">
      <c r="C20" t="s">
        <v>5</v>
      </c>
      <c r="D20" t="s">
        <v>35</v>
      </c>
      <c r="E20" t="s">
        <v>4</v>
      </c>
      <c r="F20" s="3">
        <v>2744</v>
      </c>
      <c r="G20" s="4">
        <v>9</v>
      </c>
      <c r="H20">
        <f>_xlfn.XLOOKUP(data[[#This Row],[Product]], products[Product],products[Cost per unit])</f>
        <v>11.88</v>
      </c>
      <c r="I20">
        <f>data[[#This Row],[Cost Per Unit]]*data[[#This Row],[Units]]</f>
        <v>106.92</v>
      </c>
      <c r="J20" s="3">
        <f>data[[#This Row],[Amount]]-data[[#This Row],[Cost]]</f>
        <v>2637.08</v>
      </c>
      <c r="L20" s="6">
        <v>9</v>
      </c>
      <c r="M20" s="7" t="s">
        <v>46</v>
      </c>
      <c r="AA20" t="s">
        <v>20</v>
      </c>
      <c r="AB20" s="10">
        <v>10.62</v>
      </c>
    </row>
    <row r="21" spans="3:28" x14ac:dyDescent="0.2">
      <c r="C21" t="s">
        <v>9</v>
      </c>
      <c r="D21" t="s">
        <v>38</v>
      </c>
      <c r="E21" t="s">
        <v>17</v>
      </c>
      <c r="F21" s="3">
        <v>2408</v>
      </c>
      <c r="G21" s="4">
        <v>9</v>
      </c>
      <c r="H21">
        <f>_xlfn.XLOOKUP(data[[#This Row],[Product]], products[Product],products[Cost per unit])</f>
        <v>3.11</v>
      </c>
      <c r="I21">
        <f>data[[#This Row],[Cost Per Unit]]*data[[#This Row],[Units]]</f>
        <v>27.99</v>
      </c>
      <c r="J21" s="3">
        <f>data[[#This Row],[Amount]]-data[[#This Row],[Cost]]</f>
        <v>2380.0100000000002</v>
      </c>
      <c r="L21" s="6">
        <v>10</v>
      </c>
      <c r="M21" s="7" t="s">
        <v>47</v>
      </c>
      <c r="AA21" t="s">
        <v>21</v>
      </c>
      <c r="AB21" s="10">
        <v>9</v>
      </c>
    </row>
    <row r="22" spans="3:28" x14ac:dyDescent="0.2">
      <c r="C22" t="s">
        <v>6</v>
      </c>
      <c r="D22" t="s">
        <v>37</v>
      </c>
      <c r="E22" t="s">
        <v>26</v>
      </c>
      <c r="F22" s="3">
        <v>6818</v>
      </c>
      <c r="G22" s="4">
        <v>6</v>
      </c>
      <c r="H22">
        <f>_xlfn.XLOOKUP(data[[#This Row],[Product]], products[Product],products[Cost per unit])</f>
        <v>5.6</v>
      </c>
      <c r="I22">
        <f>data[[#This Row],[Cost Per Unit]]*data[[#This Row],[Units]]</f>
        <v>33.599999999999994</v>
      </c>
      <c r="J22" s="3">
        <f>data[[#This Row],[Amount]]-data[[#This Row],[Cost]]</f>
        <v>6784.4</v>
      </c>
      <c r="AA22" t="s">
        <v>22</v>
      </c>
      <c r="AB22" s="10">
        <v>9.77</v>
      </c>
    </row>
    <row r="23" spans="3:28" x14ac:dyDescent="0.2">
      <c r="C23" t="s">
        <v>10</v>
      </c>
      <c r="D23" t="s">
        <v>35</v>
      </c>
      <c r="E23" t="s">
        <v>15</v>
      </c>
      <c r="F23" s="3">
        <v>2562</v>
      </c>
      <c r="G23" s="4">
        <v>6</v>
      </c>
      <c r="H23">
        <f>_xlfn.XLOOKUP(data[[#This Row],[Product]], products[Product],products[Cost per unit])</f>
        <v>11.73</v>
      </c>
      <c r="I23">
        <f>data[[#This Row],[Cost Per Unit]]*data[[#This Row],[Units]]</f>
        <v>70.38</v>
      </c>
      <c r="J23" s="3">
        <f>data[[#This Row],[Amount]]-data[[#This Row],[Cost]]</f>
        <v>2491.62</v>
      </c>
      <c r="AA23" t="s">
        <v>23</v>
      </c>
      <c r="AB23" s="10">
        <v>6.49</v>
      </c>
    </row>
    <row r="24" spans="3:28" x14ac:dyDescent="0.2">
      <c r="C24" t="s">
        <v>6</v>
      </c>
      <c r="D24" t="s">
        <v>38</v>
      </c>
      <c r="E24" t="s">
        <v>16</v>
      </c>
      <c r="F24" s="3">
        <v>938</v>
      </c>
      <c r="G24" s="4">
        <v>6</v>
      </c>
      <c r="H24">
        <f>_xlfn.XLOOKUP(data[[#This Row],[Product]], products[Product],products[Cost per unit])</f>
        <v>8.7899999999999991</v>
      </c>
      <c r="I24">
        <f>data[[#This Row],[Cost Per Unit]]*data[[#This Row],[Units]]</f>
        <v>52.739999999999995</v>
      </c>
      <c r="J24" s="3">
        <f>data[[#This Row],[Amount]]-data[[#This Row],[Cost]]</f>
        <v>885.26</v>
      </c>
      <c r="AA24" t="s">
        <v>24</v>
      </c>
      <c r="AB24" s="10">
        <v>4.97</v>
      </c>
    </row>
    <row r="25" spans="3:28" x14ac:dyDescent="0.2">
      <c r="C25" t="s">
        <v>5</v>
      </c>
      <c r="D25" t="s">
        <v>34</v>
      </c>
      <c r="E25" t="s">
        <v>20</v>
      </c>
      <c r="F25" s="3">
        <v>15610</v>
      </c>
      <c r="G25" s="4">
        <v>339</v>
      </c>
      <c r="H25">
        <f>_xlfn.XLOOKUP(data[[#This Row],[Product]], products[Product],products[Cost per unit])</f>
        <v>10.62</v>
      </c>
      <c r="I25">
        <f>data[[#This Row],[Cost Per Unit]]*data[[#This Row],[Units]]</f>
        <v>3600.18</v>
      </c>
      <c r="J25" s="3">
        <f>data[[#This Row],[Amount]]-data[[#This Row],[Cost]]</f>
        <v>12009.82</v>
      </c>
      <c r="AA25" t="s">
        <v>25</v>
      </c>
      <c r="AB25" s="10">
        <v>13.15</v>
      </c>
    </row>
    <row r="26" spans="3:28" x14ac:dyDescent="0.2">
      <c r="C26" t="s">
        <v>40</v>
      </c>
      <c r="D26" t="s">
        <v>35</v>
      </c>
      <c r="E26" t="s">
        <v>32</v>
      </c>
      <c r="F26" s="3">
        <v>12348</v>
      </c>
      <c r="G26" s="4">
        <v>234</v>
      </c>
      <c r="H26">
        <f>_xlfn.XLOOKUP(data[[#This Row],[Product]], products[Product],products[Cost per unit])</f>
        <v>8.65</v>
      </c>
      <c r="I26">
        <f>data[[#This Row],[Cost Per Unit]]*data[[#This Row],[Units]]</f>
        <v>2024.1000000000001</v>
      </c>
      <c r="J26" s="3">
        <f>data[[#This Row],[Amount]]-data[[#This Row],[Cost]]</f>
        <v>10323.9</v>
      </c>
      <c r="AA26" t="s">
        <v>26</v>
      </c>
      <c r="AB26" s="10">
        <v>5.6</v>
      </c>
    </row>
    <row r="27" spans="3:28" x14ac:dyDescent="0.2">
      <c r="C27" t="s">
        <v>41</v>
      </c>
      <c r="D27" t="s">
        <v>36</v>
      </c>
      <c r="E27" t="s">
        <v>13</v>
      </c>
      <c r="F27" s="3">
        <v>10311</v>
      </c>
      <c r="G27" s="4">
        <v>231</v>
      </c>
      <c r="H27">
        <f>_xlfn.XLOOKUP(data[[#This Row],[Product]], products[Product],products[Cost per unit])</f>
        <v>9.33</v>
      </c>
      <c r="I27">
        <f>data[[#This Row],[Cost Per Unit]]*data[[#This Row],[Units]]</f>
        <v>2155.23</v>
      </c>
      <c r="J27" s="3">
        <f>data[[#This Row],[Amount]]-data[[#This Row],[Cost]]</f>
        <v>8155.77</v>
      </c>
      <c r="AA27" t="s">
        <v>27</v>
      </c>
      <c r="AB27" s="10">
        <v>16.73</v>
      </c>
    </row>
    <row r="28" spans="3:28" x14ac:dyDescent="0.2">
      <c r="C28" t="s">
        <v>9</v>
      </c>
      <c r="D28" t="s">
        <v>36</v>
      </c>
      <c r="E28" t="s">
        <v>27</v>
      </c>
      <c r="F28" s="3">
        <v>11522</v>
      </c>
      <c r="G28" s="4">
        <v>204</v>
      </c>
      <c r="H28">
        <f>_xlfn.XLOOKUP(data[[#This Row],[Product]], products[Product],products[Cost per unit])</f>
        <v>16.73</v>
      </c>
      <c r="I28">
        <f>data[[#This Row],[Cost Per Unit]]*data[[#This Row],[Units]]</f>
        <v>3412.92</v>
      </c>
      <c r="J28" s="3">
        <f>data[[#This Row],[Amount]]-data[[#This Row],[Cost]]</f>
        <v>8109.08</v>
      </c>
      <c r="AA28" t="s">
        <v>28</v>
      </c>
      <c r="AB28" s="10">
        <v>10.38</v>
      </c>
    </row>
    <row r="29" spans="3:28" x14ac:dyDescent="0.2">
      <c r="C29" t="s">
        <v>5</v>
      </c>
      <c r="D29" t="s">
        <v>35</v>
      </c>
      <c r="E29" t="s">
        <v>15</v>
      </c>
      <c r="F29" s="3">
        <v>13391</v>
      </c>
      <c r="G29" s="4">
        <v>201</v>
      </c>
      <c r="H29">
        <f>_xlfn.XLOOKUP(data[[#This Row],[Product]], products[Product],products[Cost per unit])</f>
        <v>11.73</v>
      </c>
      <c r="I29">
        <f>data[[#This Row],[Cost Per Unit]]*data[[#This Row],[Units]]</f>
        <v>2357.73</v>
      </c>
      <c r="J29" s="3">
        <f>data[[#This Row],[Amount]]-data[[#This Row],[Cost]]</f>
        <v>11033.27</v>
      </c>
      <c r="AA29" t="s">
        <v>29</v>
      </c>
      <c r="AB29" s="10">
        <v>7.16</v>
      </c>
    </row>
    <row r="30" spans="3:28" x14ac:dyDescent="0.2">
      <c r="C30" t="s">
        <v>9</v>
      </c>
      <c r="D30" t="s">
        <v>34</v>
      </c>
      <c r="E30" t="s">
        <v>28</v>
      </c>
      <c r="F30" s="3">
        <v>14329</v>
      </c>
      <c r="G30" s="4">
        <v>150</v>
      </c>
      <c r="H30">
        <f>_xlfn.XLOOKUP(data[[#This Row],[Product]], products[Product],products[Cost per unit])</f>
        <v>10.38</v>
      </c>
      <c r="I30">
        <f>data[[#This Row],[Cost Per Unit]]*data[[#This Row],[Units]]</f>
        <v>1557.0000000000002</v>
      </c>
      <c r="J30" s="3">
        <f>data[[#This Row],[Amount]]-data[[#This Row],[Cost]]</f>
        <v>12772</v>
      </c>
      <c r="AA30" t="s">
        <v>30</v>
      </c>
      <c r="AB30" s="10">
        <v>14.49</v>
      </c>
    </row>
    <row r="31" spans="3:28" x14ac:dyDescent="0.2">
      <c r="C31" t="s">
        <v>2</v>
      </c>
      <c r="D31" t="s">
        <v>37</v>
      </c>
      <c r="E31" t="s">
        <v>18</v>
      </c>
      <c r="F31" s="3">
        <v>11571</v>
      </c>
      <c r="G31" s="4">
        <v>138</v>
      </c>
      <c r="H31">
        <f>_xlfn.XLOOKUP(data[[#This Row],[Product]], products[Product],products[Cost per unit])</f>
        <v>6.47</v>
      </c>
      <c r="I31">
        <f>data[[#This Row],[Cost Per Unit]]*data[[#This Row],[Units]]</f>
        <v>892.86</v>
      </c>
      <c r="J31" s="3">
        <f>data[[#This Row],[Amount]]-data[[#This Row],[Cost]]</f>
        <v>10678.14</v>
      </c>
      <c r="AA31" t="s">
        <v>31</v>
      </c>
      <c r="AB31" s="10">
        <v>5.79</v>
      </c>
    </row>
    <row r="32" spans="3:28" x14ac:dyDescent="0.2">
      <c r="C32" t="s">
        <v>5</v>
      </c>
      <c r="D32" t="s">
        <v>36</v>
      </c>
      <c r="E32" t="s">
        <v>16</v>
      </c>
      <c r="F32" s="3">
        <v>16184</v>
      </c>
      <c r="G32" s="4">
        <v>39</v>
      </c>
      <c r="H32">
        <f>_xlfn.XLOOKUP(data[[#This Row],[Product]], products[Product],products[Cost per unit])</f>
        <v>8.7899999999999991</v>
      </c>
      <c r="I32">
        <f>data[[#This Row],[Cost Per Unit]]*data[[#This Row],[Units]]</f>
        <v>342.80999999999995</v>
      </c>
      <c r="J32" s="3">
        <f>data[[#This Row],[Amount]]-data[[#This Row],[Cost]]</f>
        <v>15841.19</v>
      </c>
      <c r="AA32" t="s">
        <v>32</v>
      </c>
      <c r="AB32" s="10">
        <v>8.65</v>
      </c>
    </row>
    <row r="33" spans="3:28" x14ac:dyDescent="0.2">
      <c r="C33" t="s">
        <v>10</v>
      </c>
      <c r="D33" t="s">
        <v>39</v>
      </c>
      <c r="E33" t="s">
        <v>33</v>
      </c>
      <c r="F33" s="3">
        <v>12950</v>
      </c>
      <c r="G33" s="4">
        <v>30</v>
      </c>
      <c r="H33">
        <f>_xlfn.XLOOKUP(data[[#This Row],[Product]], products[Product],products[Cost per unit])</f>
        <v>12.37</v>
      </c>
      <c r="I33">
        <f>data[[#This Row],[Cost Per Unit]]*data[[#This Row],[Units]]</f>
        <v>371.09999999999997</v>
      </c>
      <c r="J33" s="3">
        <f>data[[#This Row],[Amount]]-data[[#This Row],[Cost]]</f>
        <v>12578.9</v>
      </c>
      <c r="AA33" t="s">
        <v>33</v>
      </c>
      <c r="AB33" s="10">
        <v>12.37</v>
      </c>
    </row>
    <row r="34" spans="3:28" x14ac:dyDescent="0.2">
      <c r="C34" t="s">
        <v>2</v>
      </c>
      <c r="D34" t="s">
        <v>36</v>
      </c>
      <c r="E34" t="s">
        <v>16</v>
      </c>
      <c r="F34" s="3">
        <v>11417</v>
      </c>
      <c r="G34" s="4">
        <v>21</v>
      </c>
      <c r="H34">
        <f>_xlfn.XLOOKUP(data[[#This Row],[Product]], products[Product],products[Cost per unit])</f>
        <v>8.7899999999999991</v>
      </c>
      <c r="I34">
        <f>data[[#This Row],[Cost Per Unit]]*data[[#This Row],[Units]]</f>
        <v>184.58999999999997</v>
      </c>
      <c r="J34" s="3">
        <f>data[[#This Row],[Amount]]-data[[#This Row],[Cost]]</f>
        <v>11232.41</v>
      </c>
    </row>
    <row r="35" spans="3:28" x14ac:dyDescent="0.2">
      <c r="C35" t="s">
        <v>10</v>
      </c>
      <c r="D35" t="s">
        <v>38</v>
      </c>
      <c r="E35" t="s">
        <v>14</v>
      </c>
      <c r="F35" s="3">
        <v>5586</v>
      </c>
      <c r="G35" s="4">
        <v>525</v>
      </c>
      <c r="H35">
        <f>_xlfn.XLOOKUP(data[[#This Row],[Product]], products[Product],products[Cost per unit])</f>
        <v>11.7</v>
      </c>
      <c r="I35">
        <f>data[[#This Row],[Cost Per Unit]]*data[[#This Row],[Units]]</f>
        <v>6142.5</v>
      </c>
      <c r="J35" s="3">
        <f>data[[#This Row],[Amount]]-data[[#This Row],[Cost]]</f>
        <v>-556.5</v>
      </c>
    </row>
    <row r="36" spans="3:28" x14ac:dyDescent="0.2">
      <c r="C36" t="s">
        <v>2</v>
      </c>
      <c r="D36" t="s">
        <v>36</v>
      </c>
      <c r="E36" t="s">
        <v>27</v>
      </c>
      <c r="F36" s="3">
        <v>798</v>
      </c>
      <c r="G36" s="4">
        <v>519</v>
      </c>
      <c r="H36">
        <f>_xlfn.XLOOKUP(data[[#This Row],[Product]], products[Product],products[Cost per unit])</f>
        <v>16.73</v>
      </c>
      <c r="I36">
        <f>data[[#This Row],[Cost Per Unit]]*data[[#This Row],[Units]]</f>
        <v>8682.8700000000008</v>
      </c>
      <c r="J36" s="3">
        <f>data[[#This Row],[Amount]]-data[[#This Row],[Cost]]</f>
        <v>-7884.8700000000008</v>
      </c>
    </row>
    <row r="37" spans="3:28" x14ac:dyDescent="0.2">
      <c r="C37" t="s">
        <v>8</v>
      </c>
      <c r="D37" t="s">
        <v>38</v>
      </c>
      <c r="E37" t="s">
        <v>13</v>
      </c>
      <c r="F37" s="3">
        <v>819</v>
      </c>
      <c r="G37" s="4">
        <v>510</v>
      </c>
      <c r="H37">
        <f>_xlfn.XLOOKUP(data[[#This Row],[Product]], products[Product],products[Cost per unit])</f>
        <v>9.33</v>
      </c>
      <c r="I37">
        <f>data[[#This Row],[Cost Per Unit]]*data[[#This Row],[Units]]</f>
        <v>4758.3</v>
      </c>
      <c r="J37" s="3">
        <f>data[[#This Row],[Amount]]-data[[#This Row],[Cost]]</f>
        <v>-3939.3</v>
      </c>
    </row>
    <row r="38" spans="3:28" x14ac:dyDescent="0.2">
      <c r="C38" t="s">
        <v>3</v>
      </c>
      <c r="D38" t="s">
        <v>34</v>
      </c>
      <c r="E38" t="s">
        <v>32</v>
      </c>
      <c r="F38" s="3">
        <v>7777</v>
      </c>
      <c r="G38" s="4">
        <v>504</v>
      </c>
      <c r="H38">
        <f>_xlfn.XLOOKUP(data[[#This Row],[Product]], products[Product],products[Cost per unit])</f>
        <v>8.65</v>
      </c>
      <c r="I38">
        <f>data[[#This Row],[Cost Per Unit]]*data[[#This Row],[Units]]</f>
        <v>4359.6000000000004</v>
      </c>
      <c r="J38" s="3">
        <f>data[[#This Row],[Amount]]-data[[#This Row],[Cost]]</f>
        <v>3417.3999999999996</v>
      </c>
    </row>
    <row r="39" spans="3:28" x14ac:dyDescent="0.2">
      <c r="C39" t="s">
        <v>9</v>
      </c>
      <c r="D39" t="s">
        <v>34</v>
      </c>
      <c r="E39" t="s">
        <v>20</v>
      </c>
      <c r="F39" s="3">
        <v>8463</v>
      </c>
      <c r="G39" s="4">
        <v>492</v>
      </c>
      <c r="H39">
        <f>_xlfn.XLOOKUP(data[[#This Row],[Product]], products[Product],products[Cost per unit])</f>
        <v>10.62</v>
      </c>
      <c r="I39">
        <f>data[[#This Row],[Cost Per Unit]]*data[[#This Row],[Units]]</f>
        <v>5225.04</v>
      </c>
      <c r="J39" s="3">
        <f>data[[#This Row],[Amount]]-data[[#This Row],[Cost]]</f>
        <v>3237.96</v>
      </c>
    </row>
    <row r="40" spans="3:28" x14ac:dyDescent="0.2">
      <c r="C40" t="s">
        <v>2</v>
      </c>
      <c r="D40" t="s">
        <v>39</v>
      </c>
      <c r="E40" t="s">
        <v>25</v>
      </c>
      <c r="F40" s="3">
        <v>1785</v>
      </c>
      <c r="G40" s="4">
        <v>462</v>
      </c>
      <c r="H40">
        <f>_xlfn.XLOOKUP(data[[#This Row],[Product]], products[Product],products[Cost per unit])</f>
        <v>13.15</v>
      </c>
      <c r="I40">
        <f>data[[#This Row],[Cost Per Unit]]*data[[#This Row],[Units]]</f>
        <v>6075.3</v>
      </c>
      <c r="J40" s="3">
        <f>data[[#This Row],[Amount]]-data[[#This Row],[Cost]]</f>
        <v>-4290.3</v>
      </c>
    </row>
    <row r="41" spans="3:28" x14ac:dyDescent="0.2">
      <c r="C41" t="s">
        <v>8</v>
      </c>
      <c r="D41" t="s">
        <v>35</v>
      </c>
      <c r="E41" t="s">
        <v>32</v>
      </c>
      <c r="F41" s="3">
        <v>6706</v>
      </c>
      <c r="G41" s="4">
        <v>459</v>
      </c>
      <c r="H41">
        <f>_xlfn.XLOOKUP(data[[#This Row],[Product]], products[Product],products[Cost per unit])</f>
        <v>8.65</v>
      </c>
      <c r="I41">
        <f>data[[#This Row],[Cost Per Unit]]*data[[#This Row],[Units]]</f>
        <v>3970.3500000000004</v>
      </c>
      <c r="J41" s="3">
        <f>data[[#This Row],[Amount]]-data[[#This Row],[Cost]]</f>
        <v>2735.6499999999996</v>
      </c>
    </row>
    <row r="42" spans="3:28" x14ac:dyDescent="0.2">
      <c r="C42" t="s">
        <v>6</v>
      </c>
      <c r="D42" t="s">
        <v>37</v>
      </c>
      <c r="E42" t="s">
        <v>28</v>
      </c>
      <c r="F42" s="3">
        <v>3556</v>
      </c>
      <c r="G42" s="4">
        <v>459</v>
      </c>
      <c r="H42">
        <f>_xlfn.XLOOKUP(data[[#This Row],[Product]], products[Product],products[Cost per unit])</f>
        <v>10.38</v>
      </c>
      <c r="I42">
        <f>data[[#This Row],[Cost Per Unit]]*data[[#This Row],[Units]]</f>
        <v>4764.42</v>
      </c>
      <c r="J42" s="3">
        <f>data[[#This Row],[Amount]]-data[[#This Row],[Cost]]</f>
        <v>-1208.42</v>
      </c>
    </row>
    <row r="43" spans="3:28" x14ac:dyDescent="0.2">
      <c r="C43" t="s">
        <v>6</v>
      </c>
      <c r="D43" t="s">
        <v>34</v>
      </c>
      <c r="E43" t="s">
        <v>26</v>
      </c>
      <c r="F43" s="3">
        <v>8008</v>
      </c>
      <c r="G43" s="4">
        <v>456</v>
      </c>
      <c r="H43">
        <f>_xlfn.XLOOKUP(data[[#This Row],[Product]], products[Product],products[Cost per unit])</f>
        <v>5.6</v>
      </c>
      <c r="I43">
        <f>data[[#This Row],[Cost Per Unit]]*data[[#This Row],[Units]]</f>
        <v>2553.6</v>
      </c>
      <c r="J43" s="3">
        <f>data[[#This Row],[Amount]]-data[[#This Row],[Cost]]</f>
        <v>5454.4</v>
      </c>
    </row>
    <row r="44" spans="3:28" x14ac:dyDescent="0.2">
      <c r="C44" t="s">
        <v>40</v>
      </c>
      <c r="D44" t="s">
        <v>35</v>
      </c>
      <c r="E44" t="s">
        <v>30</v>
      </c>
      <c r="F44" s="3">
        <v>2275</v>
      </c>
      <c r="G44" s="4">
        <v>447</v>
      </c>
      <c r="H44">
        <f>_xlfn.XLOOKUP(data[[#This Row],[Product]], products[Product],products[Cost per unit])</f>
        <v>14.49</v>
      </c>
      <c r="I44">
        <f>data[[#This Row],[Cost Per Unit]]*data[[#This Row],[Units]]</f>
        <v>6477.03</v>
      </c>
      <c r="J44" s="3">
        <f>data[[#This Row],[Amount]]-data[[#This Row],[Cost]]</f>
        <v>-4202.03</v>
      </c>
    </row>
    <row r="45" spans="3:28" x14ac:dyDescent="0.2">
      <c r="C45" t="s">
        <v>40</v>
      </c>
      <c r="D45" t="s">
        <v>35</v>
      </c>
      <c r="E45" t="s">
        <v>33</v>
      </c>
      <c r="F45" s="3">
        <v>8869</v>
      </c>
      <c r="G45" s="4">
        <v>432</v>
      </c>
      <c r="H45">
        <f>_xlfn.XLOOKUP(data[[#This Row],[Product]], products[Product],products[Cost per unit])</f>
        <v>12.37</v>
      </c>
      <c r="I45">
        <f>data[[#This Row],[Cost Per Unit]]*data[[#This Row],[Units]]</f>
        <v>5343.8399999999992</v>
      </c>
      <c r="J45" s="3">
        <f>data[[#This Row],[Amount]]-data[[#This Row],[Cost]]</f>
        <v>3525.1600000000008</v>
      </c>
    </row>
    <row r="46" spans="3:28" x14ac:dyDescent="0.2">
      <c r="C46" t="s">
        <v>6</v>
      </c>
      <c r="D46" t="s">
        <v>39</v>
      </c>
      <c r="E46" t="s">
        <v>25</v>
      </c>
      <c r="F46" s="3">
        <v>2100</v>
      </c>
      <c r="G46" s="4">
        <v>414</v>
      </c>
      <c r="H46">
        <f>_xlfn.XLOOKUP(data[[#This Row],[Product]], products[Product],products[Cost per unit])</f>
        <v>13.15</v>
      </c>
      <c r="I46">
        <f>data[[#This Row],[Cost Per Unit]]*data[[#This Row],[Units]]</f>
        <v>5444.1</v>
      </c>
      <c r="J46" s="3">
        <f>data[[#This Row],[Amount]]-data[[#This Row],[Cost]]</f>
        <v>-3344.1000000000004</v>
      </c>
    </row>
    <row r="47" spans="3:28" x14ac:dyDescent="0.2">
      <c r="C47" t="s">
        <v>6</v>
      </c>
      <c r="D47" t="s">
        <v>37</v>
      </c>
      <c r="E47" t="s">
        <v>16</v>
      </c>
      <c r="F47" s="3">
        <v>1904</v>
      </c>
      <c r="G47" s="4">
        <v>405</v>
      </c>
      <c r="H47">
        <f>_xlfn.XLOOKUP(data[[#This Row],[Product]], products[Product],products[Cost per unit])</f>
        <v>8.7899999999999991</v>
      </c>
      <c r="I47">
        <f>data[[#This Row],[Cost Per Unit]]*data[[#This Row],[Units]]</f>
        <v>3559.95</v>
      </c>
      <c r="J47" s="3">
        <f>data[[#This Row],[Amount]]-data[[#This Row],[Cost]]</f>
        <v>-1655.9499999999998</v>
      </c>
    </row>
    <row r="48" spans="3:28" x14ac:dyDescent="0.2">
      <c r="C48" t="s">
        <v>6</v>
      </c>
      <c r="D48" t="s">
        <v>35</v>
      </c>
      <c r="E48" t="s">
        <v>4</v>
      </c>
      <c r="F48" s="3">
        <v>1302</v>
      </c>
      <c r="G48" s="4">
        <v>402</v>
      </c>
      <c r="H48">
        <f>_xlfn.XLOOKUP(data[[#This Row],[Product]], products[Product],products[Cost per unit])</f>
        <v>11.88</v>
      </c>
      <c r="I48">
        <f>data[[#This Row],[Cost Per Unit]]*data[[#This Row],[Units]]</f>
        <v>4775.76</v>
      </c>
      <c r="J48" s="3">
        <f>data[[#This Row],[Amount]]-data[[#This Row],[Cost]]</f>
        <v>-3473.76</v>
      </c>
    </row>
    <row r="49" spans="3:10" x14ac:dyDescent="0.2">
      <c r="C49" t="s">
        <v>6</v>
      </c>
      <c r="D49" t="s">
        <v>39</v>
      </c>
      <c r="E49" t="s">
        <v>29</v>
      </c>
      <c r="F49" s="3">
        <v>3052</v>
      </c>
      <c r="G49" s="4">
        <v>378</v>
      </c>
      <c r="H49">
        <f>_xlfn.XLOOKUP(data[[#This Row],[Product]], products[Product],products[Cost per unit])</f>
        <v>7.16</v>
      </c>
      <c r="I49">
        <f>data[[#This Row],[Cost Per Unit]]*data[[#This Row],[Units]]</f>
        <v>2706.48</v>
      </c>
      <c r="J49" s="3">
        <f>data[[#This Row],[Amount]]-data[[#This Row],[Cost]]</f>
        <v>345.52</v>
      </c>
    </row>
    <row r="50" spans="3:10" x14ac:dyDescent="0.2">
      <c r="C50" t="s">
        <v>40</v>
      </c>
      <c r="D50" t="s">
        <v>35</v>
      </c>
      <c r="E50" t="s">
        <v>22</v>
      </c>
      <c r="F50" s="3">
        <v>6853</v>
      </c>
      <c r="G50" s="4">
        <v>372</v>
      </c>
      <c r="H50">
        <f>_xlfn.XLOOKUP(data[[#This Row],[Product]], products[Product],products[Cost per unit])</f>
        <v>9.77</v>
      </c>
      <c r="I50">
        <f>data[[#This Row],[Cost Per Unit]]*data[[#This Row],[Units]]</f>
        <v>3634.44</v>
      </c>
      <c r="J50" s="3">
        <f>data[[#This Row],[Amount]]-data[[#This Row],[Cost]]</f>
        <v>3218.56</v>
      </c>
    </row>
    <row r="51" spans="3:10" x14ac:dyDescent="0.2">
      <c r="C51" t="s">
        <v>7</v>
      </c>
      <c r="D51" t="s">
        <v>34</v>
      </c>
      <c r="E51" t="s">
        <v>14</v>
      </c>
      <c r="F51" s="3">
        <v>1932</v>
      </c>
      <c r="G51" s="4">
        <v>369</v>
      </c>
      <c r="H51">
        <f>_xlfn.XLOOKUP(data[[#This Row],[Product]], products[Product],products[Cost per unit])</f>
        <v>11.7</v>
      </c>
      <c r="I51">
        <f>data[[#This Row],[Cost Per Unit]]*data[[#This Row],[Units]]</f>
        <v>4317.3</v>
      </c>
      <c r="J51" s="3">
        <f>data[[#This Row],[Amount]]-data[[#This Row],[Cost]]</f>
        <v>-2385.3000000000002</v>
      </c>
    </row>
    <row r="52" spans="3:10" x14ac:dyDescent="0.2">
      <c r="C52" t="s">
        <v>6</v>
      </c>
      <c r="D52" t="s">
        <v>34</v>
      </c>
      <c r="E52" t="s">
        <v>30</v>
      </c>
      <c r="F52" s="3">
        <v>3402</v>
      </c>
      <c r="G52" s="4">
        <v>366</v>
      </c>
      <c r="H52">
        <f>_xlfn.XLOOKUP(data[[#This Row],[Product]], products[Product],products[Cost per unit])</f>
        <v>14.49</v>
      </c>
      <c r="I52">
        <f>data[[#This Row],[Cost Per Unit]]*data[[#This Row],[Units]]</f>
        <v>5303.34</v>
      </c>
      <c r="J52" s="3">
        <f>data[[#This Row],[Amount]]-data[[#This Row],[Cost]]</f>
        <v>-1901.3400000000001</v>
      </c>
    </row>
    <row r="53" spans="3:10" x14ac:dyDescent="0.2">
      <c r="C53" t="s">
        <v>3</v>
      </c>
      <c r="D53" t="s">
        <v>37</v>
      </c>
      <c r="E53" t="s">
        <v>4</v>
      </c>
      <c r="F53" s="3">
        <v>938</v>
      </c>
      <c r="G53" s="4">
        <v>366</v>
      </c>
      <c r="H53">
        <f>_xlfn.XLOOKUP(data[[#This Row],[Product]], products[Product],products[Cost per unit])</f>
        <v>11.88</v>
      </c>
      <c r="I53">
        <f>data[[#This Row],[Cost Per Unit]]*data[[#This Row],[Units]]</f>
        <v>4348.08</v>
      </c>
      <c r="J53" s="3">
        <f>data[[#This Row],[Amount]]-data[[#This Row],[Cost]]</f>
        <v>-3410.08</v>
      </c>
    </row>
    <row r="54" spans="3:10" x14ac:dyDescent="0.2">
      <c r="C54" t="s">
        <v>8</v>
      </c>
      <c r="D54" t="s">
        <v>35</v>
      </c>
      <c r="E54" t="s">
        <v>20</v>
      </c>
      <c r="F54" s="3">
        <v>2702</v>
      </c>
      <c r="G54" s="4">
        <v>363</v>
      </c>
      <c r="H54">
        <f>_xlfn.XLOOKUP(data[[#This Row],[Product]], products[Product],products[Cost per unit])</f>
        <v>10.62</v>
      </c>
      <c r="I54">
        <f>data[[#This Row],[Cost Per Unit]]*data[[#This Row],[Units]]</f>
        <v>3855.0599999999995</v>
      </c>
      <c r="J54" s="3">
        <f>data[[#This Row],[Amount]]-data[[#This Row],[Cost]]</f>
        <v>-1153.0599999999995</v>
      </c>
    </row>
    <row r="55" spans="3:10" x14ac:dyDescent="0.2">
      <c r="C55" t="s">
        <v>5</v>
      </c>
      <c r="D55" t="s">
        <v>35</v>
      </c>
      <c r="E55" t="s">
        <v>29</v>
      </c>
      <c r="F55" s="3">
        <v>4480</v>
      </c>
      <c r="G55" s="4">
        <v>357</v>
      </c>
      <c r="H55">
        <f>_xlfn.XLOOKUP(data[[#This Row],[Product]], products[Product],products[Cost per unit])</f>
        <v>7.16</v>
      </c>
      <c r="I55">
        <f>data[[#This Row],[Cost Per Unit]]*data[[#This Row],[Units]]</f>
        <v>2556.12</v>
      </c>
      <c r="J55" s="3">
        <f>data[[#This Row],[Amount]]-data[[#This Row],[Cost]]</f>
        <v>1923.88</v>
      </c>
    </row>
    <row r="56" spans="3:10" x14ac:dyDescent="0.2">
      <c r="C56" t="s">
        <v>2</v>
      </c>
      <c r="D56" t="s">
        <v>38</v>
      </c>
      <c r="E56" t="s">
        <v>31</v>
      </c>
      <c r="F56" s="3">
        <v>4326</v>
      </c>
      <c r="G56" s="4">
        <v>348</v>
      </c>
      <c r="H56">
        <f>_xlfn.XLOOKUP(data[[#This Row],[Product]], products[Product],products[Cost per unit])</f>
        <v>5.79</v>
      </c>
      <c r="I56">
        <f>data[[#This Row],[Cost Per Unit]]*data[[#This Row],[Units]]</f>
        <v>2014.92</v>
      </c>
      <c r="J56" s="3">
        <f>data[[#This Row],[Amount]]-data[[#This Row],[Cost]]</f>
        <v>2311.08</v>
      </c>
    </row>
    <row r="57" spans="3:10" x14ac:dyDescent="0.2">
      <c r="C57" t="s">
        <v>5</v>
      </c>
      <c r="D57" t="s">
        <v>36</v>
      </c>
      <c r="E57" t="s">
        <v>17</v>
      </c>
      <c r="F57" s="3">
        <v>3339</v>
      </c>
      <c r="G57" s="4">
        <v>348</v>
      </c>
      <c r="H57">
        <f>_xlfn.XLOOKUP(data[[#This Row],[Product]], products[Product],products[Cost per unit])</f>
        <v>3.11</v>
      </c>
      <c r="I57">
        <f>data[[#This Row],[Cost Per Unit]]*data[[#This Row],[Units]]</f>
        <v>1082.28</v>
      </c>
      <c r="J57" s="3">
        <f>data[[#This Row],[Amount]]-data[[#This Row],[Cost]]</f>
        <v>2256.7200000000003</v>
      </c>
    </row>
    <row r="58" spans="3:10" x14ac:dyDescent="0.2">
      <c r="C58" t="s">
        <v>10</v>
      </c>
      <c r="D58" t="s">
        <v>36</v>
      </c>
      <c r="E58" t="s">
        <v>29</v>
      </c>
      <c r="F58" s="3">
        <v>2471</v>
      </c>
      <c r="G58" s="4">
        <v>342</v>
      </c>
      <c r="H58">
        <f>_xlfn.XLOOKUP(data[[#This Row],[Product]], products[Product],products[Cost per unit])</f>
        <v>7.16</v>
      </c>
      <c r="I58">
        <f>data[[#This Row],[Cost Per Unit]]*data[[#This Row],[Units]]</f>
        <v>2448.7200000000003</v>
      </c>
      <c r="J58" s="3">
        <f>data[[#This Row],[Amount]]-data[[#This Row],[Cost]]</f>
        <v>22.279999999999745</v>
      </c>
    </row>
    <row r="59" spans="3:10" x14ac:dyDescent="0.2">
      <c r="C59" t="s">
        <v>7</v>
      </c>
      <c r="D59" t="s">
        <v>37</v>
      </c>
      <c r="E59" t="s">
        <v>16</v>
      </c>
      <c r="F59" s="3">
        <v>4487</v>
      </c>
      <c r="G59" s="4">
        <v>333</v>
      </c>
      <c r="H59">
        <f>_xlfn.XLOOKUP(data[[#This Row],[Product]], products[Product],products[Cost per unit])</f>
        <v>8.7899999999999991</v>
      </c>
      <c r="I59">
        <f>data[[#This Row],[Cost Per Unit]]*data[[#This Row],[Units]]</f>
        <v>2927.0699999999997</v>
      </c>
      <c r="J59" s="3">
        <f>data[[#This Row],[Amount]]-data[[#This Row],[Cost]]</f>
        <v>1559.9300000000003</v>
      </c>
    </row>
    <row r="60" spans="3:10" x14ac:dyDescent="0.2">
      <c r="C60" t="s">
        <v>3</v>
      </c>
      <c r="D60" t="s">
        <v>37</v>
      </c>
      <c r="E60" t="s">
        <v>28</v>
      </c>
      <c r="F60" s="3">
        <v>7308</v>
      </c>
      <c r="G60" s="4">
        <v>327</v>
      </c>
      <c r="H60">
        <f>_xlfn.XLOOKUP(data[[#This Row],[Product]], products[Product],products[Cost per unit])</f>
        <v>10.38</v>
      </c>
      <c r="I60">
        <f>data[[#This Row],[Cost Per Unit]]*data[[#This Row],[Units]]</f>
        <v>3394.26</v>
      </c>
      <c r="J60" s="3">
        <f>data[[#This Row],[Amount]]-data[[#This Row],[Cost]]</f>
        <v>3913.74</v>
      </c>
    </row>
    <row r="61" spans="3:10" x14ac:dyDescent="0.2">
      <c r="C61" t="s">
        <v>3</v>
      </c>
      <c r="D61" t="s">
        <v>37</v>
      </c>
      <c r="E61" t="s">
        <v>29</v>
      </c>
      <c r="F61" s="3">
        <v>4592</v>
      </c>
      <c r="G61" s="4">
        <v>324</v>
      </c>
      <c r="H61">
        <f>_xlfn.XLOOKUP(data[[#This Row],[Product]], products[Product],products[Cost per unit])</f>
        <v>7.16</v>
      </c>
      <c r="I61">
        <f>data[[#This Row],[Cost Per Unit]]*data[[#This Row],[Units]]</f>
        <v>2319.84</v>
      </c>
      <c r="J61" s="3">
        <f>data[[#This Row],[Amount]]-data[[#This Row],[Cost]]</f>
        <v>2272.16</v>
      </c>
    </row>
    <row r="62" spans="3:10" x14ac:dyDescent="0.2">
      <c r="C62" t="s">
        <v>7</v>
      </c>
      <c r="D62" t="s">
        <v>38</v>
      </c>
      <c r="E62" t="s">
        <v>30</v>
      </c>
      <c r="F62" s="3">
        <v>10129</v>
      </c>
      <c r="G62" s="4">
        <v>312</v>
      </c>
      <c r="H62">
        <f>_xlfn.XLOOKUP(data[[#This Row],[Product]], products[Product],products[Cost per unit])</f>
        <v>14.49</v>
      </c>
      <c r="I62">
        <f>data[[#This Row],[Cost Per Unit]]*data[[#This Row],[Units]]</f>
        <v>4520.88</v>
      </c>
      <c r="J62" s="3">
        <f>data[[#This Row],[Amount]]-data[[#This Row],[Cost]]</f>
        <v>5608.12</v>
      </c>
    </row>
    <row r="63" spans="3:10" x14ac:dyDescent="0.2">
      <c r="C63" t="s">
        <v>3</v>
      </c>
      <c r="D63" t="s">
        <v>34</v>
      </c>
      <c r="E63" t="s">
        <v>28</v>
      </c>
      <c r="F63" s="3">
        <v>3689</v>
      </c>
      <c r="G63" s="4">
        <v>312</v>
      </c>
      <c r="H63">
        <f>_xlfn.XLOOKUP(data[[#This Row],[Product]], products[Product],products[Cost per unit])</f>
        <v>10.38</v>
      </c>
      <c r="I63">
        <f>data[[#This Row],[Cost Per Unit]]*data[[#This Row],[Units]]</f>
        <v>3238.5600000000004</v>
      </c>
      <c r="J63" s="3">
        <f>data[[#This Row],[Amount]]-data[[#This Row],[Cost]]</f>
        <v>450.4399999999996</v>
      </c>
    </row>
    <row r="64" spans="3:10" x14ac:dyDescent="0.2">
      <c r="C64" t="s">
        <v>41</v>
      </c>
      <c r="D64" t="s">
        <v>36</v>
      </c>
      <c r="E64" t="s">
        <v>28</v>
      </c>
      <c r="F64" s="3">
        <v>854</v>
      </c>
      <c r="G64" s="4">
        <v>309</v>
      </c>
      <c r="H64">
        <f>_xlfn.XLOOKUP(data[[#This Row],[Product]], products[Product],products[Cost per unit])</f>
        <v>10.38</v>
      </c>
      <c r="I64">
        <f>data[[#This Row],[Cost Per Unit]]*data[[#This Row],[Units]]</f>
        <v>3207.42</v>
      </c>
      <c r="J64" s="3">
        <f>data[[#This Row],[Amount]]-data[[#This Row],[Cost]]</f>
        <v>-2353.42</v>
      </c>
    </row>
    <row r="65" spans="3:10" x14ac:dyDescent="0.2">
      <c r="C65" t="s">
        <v>9</v>
      </c>
      <c r="D65" t="s">
        <v>39</v>
      </c>
      <c r="E65" t="s">
        <v>24</v>
      </c>
      <c r="F65" s="3">
        <v>3920</v>
      </c>
      <c r="G65" s="4">
        <v>306</v>
      </c>
      <c r="H65">
        <f>_xlfn.XLOOKUP(data[[#This Row],[Product]], products[Product],products[Cost per unit])</f>
        <v>4.97</v>
      </c>
      <c r="I65">
        <f>data[[#This Row],[Cost Per Unit]]*data[[#This Row],[Units]]</f>
        <v>1520.82</v>
      </c>
      <c r="J65" s="3">
        <f>data[[#This Row],[Amount]]-data[[#This Row],[Cost]]</f>
        <v>2399.1800000000003</v>
      </c>
    </row>
    <row r="66" spans="3:10" x14ac:dyDescent="0.2">
      <c r="C66" t="s">
        <v>40</v>
      </c>
      <c r="D66" t="s">
        <v>36</v>
      </c>
      <c r="E66" t="s">
        <v>27</v>
      </c>
      <c r="F66" s="3">
        <v>3164</v>
      </c>
      <c r="G66" s="4">
        <v>306</v>
      </c>
      <c r="H66">
        <f>_xlfn.XLOOKUP(data[[#This Row],[Product]], products[Product],products[Cost per unit])</f>
        <v>16.73</v>
      </c>
      <c r="I66">
        <f>data[[#This Row],[Cost Per Unit]]*data[[#This Row],[Units]]</f>
        <v>5119.38</v>
      </c>
      <c r="J66" s="3">
        <f>data[[#This Row],[Amount]]-data[[#This Row],[Cost]]</f>
        <v>-1955.38</v>
      </c>
    </row>
    <row r="67" spans="3:10" x14ac:dyDescent="0.2">
      <c r="C67" t="s">
        <v>3</v>
      </c>
      <c r="D67" t="s">
        <v>35</v>
      </c>
      <c r="E67" t="s">
        <v>33</v>
      </c>
      <c r="F67" s="3">
        <v>819</v>
      </c>
      <c r="G67" s="4">
        <v>306</v>
      </c>
      <c r="H67">
        <f>_xlfn.XLOOKUP(data[[#This Row],[Product]], products[Product],products[Cost per unit])</f>
        <v>12.37</v>
      </c>
      <c r="I67">
        <f>data[[#This Row],[Cost Per Unit]]*data[[#This Row],[Units]]</f>
        <v>3785.22</v>
      </c>
      <c r="J67" s="3">
        <f>data[[#This Row],[Amount]]-data[[#This Row],[Cost]]</f>
        <v>-2966.22</v>
      </c>
    </row>
    <row r="68" spans="3:10" x14ac:dyDescent="0.2">
      <c r="C68" t="s">
        <v>3</v>
      </c>
      <c r="D68" t="s">
        <v>38</v>
      </c>
      <c r="E68" t="s">
        <v>26</v>
      </c>
      <c r="F68" s="3">
        <v>8841</v>
      </c>
      <c r="G68" s="4">
        <v>303</v>
      </c>
      <c r="H68">
        <f>_xlfn.XLOOKUP(data[[#This Row],[Product]], products[Product],products[Cost per unit])</f>
        <v>5.6</v>
      </c>
      <c r="I68">
        <f>data[[#This Row],[Cost Per Unit]]*data[[#This Row],[Units]]</f>
        <v>1696.8</v>
      </c>
      <c r="J68" s="3">
        <f>data[[#This Row],[Amount]]-data[[#This Row],[Cost]]</f>
        <v>7144.2</v>
      </c>
    </row>
    <row r="69" spans="3:10" x14ac:dyDescent="0.2">
      <c r="C69" t="s">
        <v>10</v>
      </c>
      <c r="D69" t="s">
        <v>36</v>
      </c>
      <c r="E69" t="s">
        <v>32</v>
      </c>
      <c r="F69" s="3">
        <v>6657</v>
      </c>
      <c r="G69" s="4">
        <v>303</v>
      </c>
      <c r="H69">
        <f>_xlfn.XLOOKUP(data[[#This Row],[Product]], products[Product],products[Cost per unit])</f>
        <v>8.65</v>
      </c>
      <c r="I69">
        <f>data[[#This Row],[Cost Per Unit]]*data[[#This Row],[Units]]</f>
        <v>2620.9500000000003</v>
      </c>
      <c r="J69" s="3">
        <f>data[[#This Row],[Amount]]-data[[#This Row],[Cost]]</f>
        <v>4036.0499999999997</v>
      </c>
    </row>
    <row r="70" spans="3:10" x14ac:dyDescent="0.2">
      <c r="C70" t="s">
        <v>2</v>
      </c>
      <c r="D70" t="s">
        <v>35</v>
      </c>
      <c r="E70" t="s">
        <v>17</v>
      </c>
      <c r="F70" s="3">
        <v>1589</v>
      </c>
      <c r="G70" s="4">
        <v>303</v>
      </c>
      <c r="H70">
        <f>_xlfn.XLOOKUP(data[[#This Row],[Product]], products[Product],products[Cost per unit])</f>
        <v>3.11</v>
      </c>
      <c r="I70">
        <f>data[[#This Row],[Cost Per Unit]]*data[[#This Row],[Units]]</f>
        <v>942.32999999999993</v>
      </c>
      <c r="J70" s="3">
        <f>data[[#This Row],[Amount]]-data[[#This Row],[Cost]]</f>
        <v>646.67000000000007</v>
      </c>
    </row>
    <row r="71" spans="3:10" x14ac:dyDescent="0.2">
      <c r="C71" t="s">
        <v>8</v>
      </c>
      <c r="D71" t="s">
        <v>35</v>
      </c>
      <c r="E71" t="s">
        <v>27</v>
      </c>
      <c r="F71" s="3">
        <v>4753</v>
      </c>
      <c r="G71" s="4">
        <v>300</v>
      </c>
      <c r="H71">
        <f>_xlfn.XLOOKUP(data[[#This Row],[Product]], products[Product],products[Cost per unit])</f>
        <v>16.73</v>
      </c>
      <c r="I71">
        <f>data[[#This Row],[Cost Per Unit]]*data[[#This Row],[Units]]</f>
        <v>5019</v>
      </c>
      <c r="J71" s="3">
        <f>data[[#This Row],[Amount]]-data[[#This Row],[Cost]]</f>
        <v>-266</v>
      </c>
    </row>
    <row r="72" spans="3:10" x14ac:dyDescent="0.2">
      <c r="C72" t="s">
        <v>7</v>
      </c>
      <c r="D72" t="s">
        <v>36</v>
      </c>
      <c r="E72" t="s">
        <v>19</v>
      </c>
      <c r="F72" s="3">
        <v>2870</v>
      </c>
      <c r="G72" s="4">
        <v>300</v>
      </c>
      <c r="H72">
        <f>_xlfn.XLOOKUP(data[[#This Row],[Product]], products[Product],products[Cost per unit])</f>
        <v>7.64</v>
      </c>
      <c r="I72">
        <f>data[[#This Row],[Cost Per Unit]]*data[[#This Row],[Units]]</f>
        <v>2292</v>
      </c>
      <c r="J72" s="3">
        <f>data[[#This Row],[Amount]]-data[[#This Row],[Cost]]</f>
        <v>578</v>
      </c>
    </row>
    <row r="73" spans="3:10" x14ac:dyDescent="0.2">
      <c r="C73" t="s">
        <v>40</v>
      </c>
      <c r="D73" t="s">
        <v>38</v>
      </c>
      <c r="E73" t="s">
        <v>13</v>
      </c>
      <c r="F73" s="3">
        <v>5670</v>
      </c>
      <c r="G73" s="4">
        <v>297</v>
      </c>
      <c r="H73">
        <f>_xlfn.XLOOKUP(data[[#This Row],[Product]], products[Product],products[Cost per unit])</f>
        <v>9.33</v>
      </c>
      <c r="I73">
        <f>data[[#This Row],[Cost Per Unit]]*data[[#This Row],[Units]]</f>
        <v>2771.01</v>
      </c>
      <c r="J73" s="3">
        <f>data[[#This Row],[Amount]]-data[[#This Row],[Cost]]</f>
        <v>2898.99</v>
      </c>
    </row>
    <row r="74" spans="3:10" x14ac:dyDescent="0.2">
      <c r="C74" t="s">
        <v>41</v>
      </c>
      <c r="D74" t="s">
        <v>36</v>
      </c>
      <c r="E74" t="s">
        <v>18</v>
      </c>
      <c r="F74" s="3">
        <v>9632</v>
      </c>
      <c r="G74" s="4">
        <v>288</v>
      </c>
      <c r="H74">
        <f>_xlfn.XLOOKUP(data[[#This Row],[Product]], products[Product],products[Cost per unit])</f>
        <v>6.47</v>
      </c>
      <c r="I74">
        <f>data[[#This Row],[Cost Per Unit]]*data[[#This Row],[Units]]</f>
        <v>1863.36</v>
      </c>
      <c r="J74" s="3">
        <f>data[[#This Row],[Amount]]-data[[#This Row],[Cost]]</f>
        <v>7768.64</v>
      </c>
    </row>
    <row r="75" spans="3:10" x14ac:dyDescent="0.2">
      <c r="C75" t="s">
        <v>7</v>
      </c>
      <c r="D75" t="s">
        <v>35</v>
      </c>
      <c r="E75" t="s">
        <v>28</v>
      </c>
      <c r="F75" s="3">
        <v>5194</v>
      </c>
      <c r="G75" s="4">
        <v>288</v>
      </c>
      <c r="H75">
        <f>_xlfn.XLOOKUP(data[[#This Row],[Product]], products[Product],products[Cost per unit])</f>
        <v>10.38</v>
      </c>
      <c r="I75">
        <f>data[[#This Row],[Cost Per Unit]]*data[[#This Row],[Units]]</f>
        <v>2989.44</v>
      </c>
      <c r="J75" s="3">
        <f>data[[#This Row],[Amount]]-data[[#This Row],[Cost]]</f>
        <v>2204.56</v>
      </c>
    </row>
    <row r="76" spans="3:10" x14ac:dyDescent="0.2">
      <c r="C76" t="s">
        <v>8</v>
      </c>
      <c r="D76" t="s">
        <v>34</v>
      </c>
      <c r="E76" t="s">
        <v>31</v>
      </c>
      <c r="F76" s="3">
        <v>3507</v>
      </c>
      <c r="G76" s="4">
        <v>288</v>
      </c>
      <c r="H76">
        <f>_xlfn.XLOOKUP(data[[#This Row],[Product]], products[Product],products[Cost per unit])</f>
        <v>5.79</v>
      </c>
      <c r="I76">
        <f>data[[#This Row],[Cost Per Unit]]*data[[#This Row],[Units]]</f>
        <v>1667.52</v>
      </c>
      <c r="J76" s="3">
        <f>data[[#This Row],[Amount]]-data[[#This Row],[Cost]]</f>
        <v>1839.48</v>
      </c>
    </row>
    <row r="77" spans="3:10" x14ac:dyDescent="0.2">
      <c r="C77" t="s">
        <v>10</v>
      </c>
      <c r="D77" t="s">
        <v>37</v>
      </c>
      <c r="E77" t="s">
        <v>21</v>
      </c>
      <c r="F77" s="3">
        <v>245</v>
      </c>
      <c r="G77" s="4">
        <v>288</v>
      </c>
      <c r="H77">
        <f>_xlfn.XLOOKUP(data[[#This Row],[Product]], products[Product],products[Cost per unit])</f>
        <v>9</v>
      </c>
      <c r="I77">
        <f>data[[#This Row],[Cost Per Unit]]*data[[#This Row],[Units]]</f>
        <v>2592</v>
      </c>
      <c r="J77" s="3">
        <f>data[[#This Row],[Amount]]-data[[#This Row],[Cost]]</f>
        <v>-2347</v>
      </c>
    </row>
    <row r="78" spans="3:10" x14ac:dyDescent="0.2">
      <c r="C78" t="s">
        <v>6</v>
      </c>
      <c r="D78" t="s">
        <v>38</v>
      </c>
      <c r="E78" t="s">
        <v>27</v>
      </c>
      <c r="F78" s="3">
        <v>1134</v>
      </c>
      <c r="G78" s="4">
        <v>282</v>
      </c>
      <c r="H78">
        <f>_xlfn.XLOOKUP(data[[#This Row],[Product]], products[Product],products[Cost per unit])</f>
        <v>16.73</v>
      </c>
      <c r="I78">
        <f>data[[#This Row],[Cost Per Unit]]*data[[#This Row],[Units]]</f>
        <v>4717.8599999999997</v>
      </c>
      <c r="J78" s="3">
        <f>data[[#This Row],[Amount]]-data[[#This Row],[Cost]]</f>
        <v>-3583.8599999999997</v>
      </c>
    </row>
    <row r="79" spans="3:10" x14ac:dyDescent="0.2">
      <c r="C79" t="s">
        <v>10</v>
      </c>
      <c r="D79" t="s">
        <v>39</v>
      </c>
      <c r="E79" t="s">
        <v>21</v>
      </c>
      <c r="F79" s="3">
        <v>4858</v>
      </c>
      <c r="G79" s="4">
        <v>279</v>
      </c>
      <c r="H79">
        <f>_xlfn.XLOOKUP(data[[#This Row],[Product]], products[Product],products[Cost per unit])</f>
        <v>9</v>
      </c>
      <c r="I79">
        <f>data[[#This Row],[Cost Per Unit]]*data[[#This Row],[Units]]</f>
        <v>2511</v>
      </c>
      <c r="J79" s="3">
        <f>data[[#This Row],[Amount]]-data[[#This Row],[Cost]]</f>
        <v>2347</v>
      </c>
    </row>
    <row r="80" spans="3:10" x14ac:dyDescent="0.2">
      <c r="C80" t="s">
        <v>10</v>
      </c>
      <c r="D80" t="s">
        <v>35</v>
      </c>
      <c r="E80" t="s">
        <v>18</v>
      </c>
      <c r="F80" s="3">
        <v>3808</v>
      </c>
      <c r="G80" s="4">
        <v>279</v>
      </c>
      <c r="H80">
        <f>_xlfn.XLOOKUP(data[[#This Row],[Product]], products[Product],products[Cost per unit])</f>
        <v>6.47</v>
      </c>
      <c r="I80">
        <f>data[[#This Row],[Cost Per Unit]]*data[[#This Row],[Units]]</f>
        <v>1805.1299999999999</v>
      </c>
      <c r="J80" s="3">
        <f>data[[#This Row],[Amount]]-data[[#This Row],[Cost]]</f>
        <v>2002.8700000000001</v>
      </c>
    </row>
    <row r="81" spans="3:10" x14ac:dyDescent="0.2">
      <c r="C81" t="s">
        <v>3</v>
      </c>
      <c r="D81" t="s">
        <v>34</v>
      </c>
      <c r="E81" t="s">
        <v>14</v>
      </c>
      <c r="F81" s="3">
        <v>7259</v>
      </c>
      <c r="G81" s="4">
        <v>276</v>
      </c>
      <c r="H81">
        <f>_xlfn.XLOOKUP(data[[#This Row],[Product]], products[Product],products[Cost per unit])</f>
        <v>11.7</v>
      </c>
      <c r="I81">
        <f>data[[#This Row],[Cost Per Unit]]*data[[#This Row],[Units]]</f>
        <v>3229.2</v>
      </c>
      <c r="J81" s="3">
        <f>data[[#This Row],[Amount]]-data[[#This Row],[Cost]]</f>
        <v>4029.8</v>
      </c>
    </row>
    <row r="82" spans="3:10" x14ac:dyDescent="0.2">
      <c r="C82" t="s">
        <v>3</v>
      </c>
      <c r="D82" t="s">
        <v>35</v>
      </c>
      <c r="E82" t="s">
        <v>15</v>
      </c>
      <c r="F82" s="3">
        <v>6657</v>
      </c>
      <c r="G82" s="4">
        <v>276</v>
      </c>
      <c r="H82">
        <f>_xlfn.XLOOKUP(data[[#This Row],[Product]], products[Product],products[Cost per unit])</f>
        <v>11.73</v>
      </c>
      <c r="I82">
        <f>data[[#This Row],[Cost Per Unit]]*data[[#This Row],[Units]]</f>
        <v>3237.48</v>
      </c>
      <c r="J82" s="3">
        <f>data[[#This Row],[Amount]]-data[[#This Row],[Cost]]</f>
        <v>3419.52</v>
      </c>
    </row>
    <row r="83" spans="3:10" x14ac:dyDescent="0.2">
      <c r="C83" t="s">
        <v>9</v>
      </c>
      <c r="D83" t="s">
        <v>37</v>
      </c>
      <c r="E83" t="s">
        <v>29</v>
      </c>
      <c r="F83" s="3">
        <v>1085</v>
      </c>
      <c r="G83" s="4">
        <v>273</v>
      </c>
      <c r="H83">
        <f>_xlfn.XLOOKUP(data[[#This Row],[Product]], products[Product],products[Cost per unit])</f>
        <v>7.16</v>
      </c>
      <c r="I83">
        <f>data[[#This Row],[Cost Per Unit]]*data[[#This Row],[Units]]</f>
        <v>1954.68</v>
      </c>
      <c r="J83" s="3">
        <f>data[[#This Row],[Amount]]-data[[#This Row],[Cost]]</f>
        <v>-869.68000000000006</v>
      </c>
    </row>
    <row r="84" spans="3:10" x14ac:dyDescent="0.2">
      <c r="C84" t="s">
        <v>7</v>
      </c>
      <c r="D84" t="s">
        <v>38</v>
      </c>
      <c r="E84" t="s">
        <v>18</v>
      </c>
      <c r="F84" s="3">
        <v>1778</v>
      </c>
      <c r="G84" s="4">
        <v>270</v>
      </c>
      <c r="H84">
        <f>_xlfn.XLOOKUP(data[[#This Row],[Product]], products[Product],products[Cost per unit])</f>
        <v>6.47</v>
      </c>
      <c r="I84">
        <f>data[[#This Row],[Cost Per Unit]]*data[[#This Row],[Units]]</f>
        <v>1746.8999999999999</v>
      </c>
      <c r="J84" s="3">
        <f>data[[#This Row],[Amount]]-data[[#This Row],[Cost]]</f>
        <v>31.100000000000136</v>
      </c>
    </row>
    <row r="85" spans="3:10" x14ac:dyDescent="0.2">
      <c r="C85" t="s">
        <v>6</v>
      </c>
      <c r="D85" t="s">
        <v>35</v>
      </c>
      <c r="E85" t="s">
        <v>20</v>
      </c>
      <c r="F85" s="3">
        <v>1071</v>
      </c>
      <c r="G85" s="4">
        <v>270</v>
      </c>
      <c r="H85">
        <f>_xlfn.XLOOKUP(data[[#This Row],[Product]], products[Product],products[Cost per unit])</f>
        <v>10.62</v>
      </c>
      <c r="I85">
        <f>data[[#This Row],[Cost Per Unit]]*data[[#This Row],[Units]]</f>
        <v>2867.3999999999996</v>
      </c>
      <c r="J85" s="3">
        <f>data[[#This Row],[Amount]]-data[[#This Row],[Cost]]</f>
        <v>-1796.3999999999996</v>
      </c>
    </row>
    <row r="86" spans="3:10" x14ac:dyDescent="0.2">
      <c r="C86" t="s">
        <v>10</v>
      </c>
      <c r="D86" t="s">
        <v>36</v>
      </c>
      <c r="E86" t="s">
        <v>23</v>
      </c>
      <c r="F86" s="3">
        <v>2317</v>
      </c>
      <c r="G86" s="4">
        <v>261</v>
      </c>
      <c r="H86">
        <f>_xlfn.XLOOKUP(data[[#This Row],[Product]], products[Product],products[Cost per unit])</f>
        <v>6.49</v>
      </c>
      <c r="I86">
        <f>data[[#This Row],[Cost Per Unit]]*data[[#This Row],[Units]]</f>
        <v>1693.89</v>
      </c>
      <c r="J86" s="3">
        <f>data[[#This Row],[Amount]]-data[[#This Row],[Cost]]</f>
        <v>623.1099999999999</v>
      </c>
    </row>
    <row r="87" spans="3:10" x14ac:dyDescent="0.2">
      <c r="C87" t="s">
        <v>7</v>
      </c>
      <c r="D87" t="s">
        <v>38</v>
      </c>
      <c r="E87" t="s">
        <v>28</v>
      </c>
      <c r="F87" s="3">
        <v>5677</v>
      </c>
      <c r="G87" s="4">
        <v>258</v>
      </c>
      <c r="H87">
        <f>_xlfn.XLOOKUP(data[[#This Row],[Product]], products[Product],products[Cost per unit])</f>
        <v>10.38</v>
      </c>
      <c r="I87">
        <f>data[[#This Row],[Cost Per Unit]]*data[[#This Row],[Units]]</f>
        <v>2678.0400000000004</v>
      </c>
      <c r="J87" s="3">
        <f>data[[#This Row],[Amount]]-data[[#This Row],[Cost]]</f>
        <v>2998.9599999999996</v>
      </c>
    </row>
    <row r="88" spans="3:10" x14ac:dyDescent="0.2">
      <c r="C88" t="s">
        <v>3</v>
      </c>
      <c r="D88" t="s">
        <v>35</v>
      </c>
      <c r="E88" t="s">
        <v>14</v>
      </c>
      <c r="F88" s="3">
        <v>2415</v>
      </c>
      <c r="G88" s="4">
        <v>255</v>
      </c>
      <c r="H88">
        <f>_xlfn.XLOOKUP(data[[#This Row],[Product]], products[Product],products[Cost per unit])</f>
        <v>11.7</v>
      </c>
      <c r="I88">
        <f>data[[#This Row],[Cost Per Unit]]*data[[#This Row],[Units]]</f>
        <v>2983.5</v>
      </c>
      <c r="J88" s="3">
        <f>data[[#This Row],[Amount]]-data[[#This Row],[Cost]]</f>
        <v>-568.5</v>
      </c>
    </row>
    <row r="89" spans="3:10" x14ac:dyDescent="0.2">
      <c r="C89" t="s">
        <v>7</v>
      </c>
      <c r="D89" t="s">
        <v>35</v>
      </c>
      <c r="E89" t="s">
        <v>30</v>
      </c>
      <c r="F89" s="3">
        <v>6755</v>
      </c>
      <c r="G89" s="4">
        <v>252</v>
      </c>
      <c r="H89">
        <f>_xlfn.XLOOKUP(data[[#This Row],[Product]], products[Product],products[Cost per unit])</f>
        <v>14.49</v>
      </c>
      <c r="I89">
        <f>data[[#This Row],[Cost Per Unit]]*data[[#This Row],[Units]]</f>
        <v>3651.48</v>
      </c>
      <c r="J89" s="3">
        <f>data[[#This Row],[Amount]]-data[[#This Row],[Cost]]</f>
        <v>3103.52</v>
      </c>
    </row>
    <row r="90" spans="3:10" x14ac:dyDescent="0.2">
      <c r="C90" t="s">
        <v>7</v>
      </c>
      <c r="D90" t="s">
        <v>36</v>
      </c>
      <c r="E90" t="s">
        <v>29</v>
      </c>
      <c r="F90" s="3">
        <v>5551</v>
      </c>
      <c r="G90" s="4">
        <v>252</v>
      </c>
      <c r="H90">
        <f>_xlfn.XLOOKUP(data[[#This Row],[Product]], products[Product],products[Cost per unit])</f>
        <v>7.16</v>
      </c>
      <c r="I90">
        <f>data[[#This Row],[Cost Per Unit]]*data[[#This Row],[Units]]</f>
        <v>1804.32</v>
      </c>
      <c r="J90" s="3">
        <f>data[[#This Row],[Amount]]-data[[#This Row],[Cost]]</f>
        <v>3746.6800000000003</v>
      </c>
    </row>
    <row r="91" spans="3:10" x14ac:dyDescent="0.2">
      <c r="C91" t="s">
        <v>5</v>
      </c>
      <c r="D91" t="s">
        <v>39</v>
      </c>
      <c r="E91" t="s">
        <v>18</v>
      </c>
      <c r="F91" s="3">
        <v>385</v>
      </c>
      <c r="G91" s="4">
        <v>249</v>
      </c>
      <c r="H91">
        <f>_xlfn.XLOOKUP(data[[#This Row],[Product]], products[Product],products[Cost per unit])</f>
        <v>6.47</v>
      </c>
      <c r="I91">
        <f>data[[#This Row],[Cost Per Unit]]*data[[#This Row],[Units]]</f>
        <v>1611.03</v>
      </c>
      <c r="J91" s="3">
        <f>data[[#This Row],[Amount]]-data[[#This Row],[Cost]]</f>
        <v>-1226.03</v>
      </c>
    </row>
    <row r="92" spans="3:10" x14ac:dyDescent="0.2">
      <c r="C92" t="s">
        <v>5</v>
      </c>
      <c r="D92" t="s">
        <v>35</v>
      </c>
      <c r="E92" t="s">
        <v>31</v>
      </c>
      <c r="F92" s="3">
        <v>4753</v>
      </c>
      <c r="G92" s="4">
        <v>246</v>
      </c>
      <c r="H92">
        <f>_xlfn.XLOOKUP(data[[#This Row],[Product]], products[Product],products[Cost per unit])</f>
        <v>5.79</v>
      </c>
      <c r="I92">
        <f>data[[#This Row],[Cost Per Unit]]*data[[#This Row],[Units]]</f>
        <v>1424.34</v>
      </c>
      <c r="J92" s="3">
        <f>data[[#This Row],[Amount]]-data[[#This Row],[Cost]]</f>
        <v>3328.66</v>
      </c>
    </row>
    <row r="93" spans="3:10" x14ac:dyDescent="0.2">
      <c r="C93" t="s">
        <v>7</v>
      </c>
      <c r="D93" t="s">
        <v>39</v>
      </c>
      <c r="E93" t="s">
        <v>17</v>
      </c>
      <c r="F93" s="3">
        <v>4438</v>
      </c>
      <c r="G93" s="4">
        <v>246</v>
      </c>
      <c r="H93">
        <f>_xlfn.XLOOKUP(data[[#This Row],[Product]], products[Product],products[Cost per unit])</f>
        <v>3.11</v>
      </c>
      <c r="I93">
        <f>data[[#This Row],[Cost Per Unit]]*data[[#This Row],[Units]]</f>
        <v>765.06</v>
      </c>
      <c r="J93" s="3">
        <f>data[[#This Row],[Amount]]-data[[#This Row],[Cost]]</f>
        <v>3672.94</v>
      </c>
    </row>
    <row r="94" spans="3:10" x14ac:dyDescent="0.2">
      <c r="C94" t="s">
        <v>2</v>
      </c>
      <c r="D94" t="s">
        <v>36</v>
      </c>
      <c r="E94" t="s">
        <v>31</v>
      </c>
      <c r="F94" s="3">
        <v>3094</v>
      </c>
      <c r="G94" s="4">
        <v>246</v>
      </c>
      <c r="H94">
        <f>_xlfn.XLOOKUP(data[[#This Row],[Product]], products[Product],products[Cost per unit])</f>
        <v>5.79</v>
      </c>
      <c r="I94">
        <f>data[[#This Row],[Cost Per Unit]]*data[[#This Row],[Units]]</f>
        <v>1424.34</v>
      </c>
      <c r="J94" s="3">
        <f>data[[#This Row],[Amount]]-data[[#This Row],[Cost]]</f>
        <v>1669.66</v>
      </c>
    </row>
    <row r="95" spans="3:10" x14ac:dyDescent="0.2">
      <c r="C95" t="s">
        <v>9</v>
      </c>
      <c r="D95" t="s">
        <v>37</v>
      </c>
      <c r="E95" t="s">
        <v>26</v>
      </c>
      <c r="F95" s="3">
        <v>2856</v>
      </c>
      <c r="G95" s="4">
        <v>246</v>
      </c>
      <c r="H95">
        <f>_xlfn.XLOOKUP(data[[#This Row],[Product]], products[Product],products[Cost per unit])</f>
        <v>5.6</v>
      </c>
      <c r="I95">
        <f>data[[#This Row],[Cost Per Unit]]*data[[#This Row],[Units]]</f>
        <v>1377.6</v>
      </c>
      <c r="J95" s="3">
        <f>data[[#This Row],[Amount]]-data[[#This Row],[Cost]]</f>
        <v>1478.4</v>
      </c>
    </row>
    <row r="96" spans="3:10" x14ac:dyDescent="0.2">
      <c r="C96" t="s">
        <v>9</v>
      </c>
      <c r="D96" t="s">
        <v>35</v>
      </c>
      <c r="E96" t="s">
        <v>15</v>
      </c>
      <c r="F96" s="3">
        <v>7833</v>
      </c>
      <c r="G96" s="4">
        <v>243</v>
      </c>
      <c r="H96">
        <f>_xlfn.XLOOKUP(data[[#This Row],[Product]], products[Product],products[Cost per unit])</f>
        <v>11.73</v>
      </c>
      <c r="I96">
        <f>data[[#This Row],[Cost Per Unit]]*data[[#This Row],[Units]]</f>
        <v>2850.3900000000003</v>
      </c>
      <c r="J96" s="3">
        <f>data[[#This Row],[Amount]]-data[[#This Row],[Cost]]</f>
        <v>4982.6099999999997</v>
      </c>
    </row>
    <row r="97" spans="3:10" x14ac:dyDescent="0.2">
      <c r="C97" t="s">
        <v>7</v>
      </c>
      <c r="D97" t="s">
        <v>35</v>
      </c>
      <c r="E97" t="s">
        <v>19</v>
      </c>
      <c r="F97" s="3">
        <v>4585</v>
      </c>
      <c r="G97" s="4">
        <v>240</v>
      </c>
      <c r="H97">
        <f>_xlfn.XLOOKUP(data[[#This Row],[Product]], products[Product],products[Cost per unit])</f>
        <v>7.64</v>
      </c>
      <c r="I97">
        <f>data[[#This Row],[Cost Per Unit]]*data[[#This Row],[Units]]</f>
        <v>1833.6</v>
      </c>
      <c r="J97" s="3">
        <f>data[[#This Row],[Amount]]-data[[#This Row],[Cost]]</f>
        <v>2751.4</v>
      </c>
    </row>
    <row r="98" spans="3:10" x14ac:dyDescent="0.2">
      <c r="C98" t="s">
        <v>41</v>
      </c>
      <c r="D98" t="s">
        <v>37</v>
      </c>
      <c r="E98" t="s">
        <v>30</v>
      </c>
      <c r="F98" s="3">
        <v>1526</v>
      </c>
      <c r="G98" s="4">
        <v>240</v>
      </c>
      <c r="H98">
        <f>_xlfn.XLOOKUP(data[[#This Row],[Product]], products[Product],products[Cost per unit])</f>
        <v>14.49</v>
      </c>
      <c r="I98">
        <f>data[[#This Row],[Cost Per Unit]]*data[[#This Row],[Units]]</f>
        <v>3477.6</v>
      </c>
      <c r="J98" s="3">
        <f>data[[#This Row],[Amount]]-data[[#This Row],[Cost]]</f>
        <v>-1951.6</v>
      </c>
    </row>
    <row r="99" spans="3:10" x14ac:dyDescent="0.2">
      <c r="C99" t="s">
        <v>5</v>
      </c>
      <c r="D99" t="s">
        <v>34</v>
      </c>
      <c r="E99" t="s">
        <v>22</v>
      </c>
      <c r="F99" s="3">
        <v>6279</v>
      </c>
      <c r="G99" s="4">
        <v>237</v>
      </c>
      <c r="H99">
        <f>_xlfn.XLOOKUP(data[[#This Row],[Product]], products[Product],products[Cost per unit])</f>
        <v>9.77</v>
      </c>
      <c r="I99">
        <f>data[[#This Row],[Cost Per Unit]]*data[[#This Row],[Units]]</f>
        <v>2315.4899999999998</v>
      </c>
      <c r="J99" s="3">
        <f>data[[#This Row],[Amount]]-data[[#This Row],[Cost]]</f>
        <v>3963.51</v>
      </c>
    </row>
    <row r="100" spans="3:10" x14ac:dyDescent="0.2">
      <c r="C100" t="s">
        <v>3</v>
      </c>
      <c r="D100" t="s">
        <v>35</v>
      </c>
      <c r="E100" t="s">
        <v>25</v>
      </c>
      <c r="F100" s="3">
        <v>2464</v>
      </c>
      <c r="G100" s="4">
        <v>234</v>
      </c>
      <c r="H100">
        <f>_xlfn.XLOOKUP(data[[#This Row],[Product]], products[Product],products[Cost per unit])</f>
        <v>13.15</v>
      </c>
      <c r="I100">
        <f>data[[#This Row],[Cost Per Unit]]*data[[#This Row],[Units]]</f>
        <v>3077.1</v>
      </c>
      <c r="J100" s="3">
        <f>data[[#This Row],[Amount]]-data[[#This Row],[Cost]]</f>
        <v>-613.09999999999991</v>
      </c>
    </row>
    <row r="101" spans="3:10" x14ac:dyDescent="0.2">
      <c r="C101" t="s">
        <v>8</v>
      </c>
      <c r="D101" t="s">
        <v>38</v>
      </c>
      <c r="E101" t="s">
        <v>23</v>
      </c>
      <c r="F101" s="3">
        <v>1701</v>
      </c>
      <c r="G101" s="4">
        <v>234</v>
      </c>
      <c r="H101">
        <f>_xlfn.XLOOKUP(data[[#This Row],[Product]], products[Product],products[Cost per unit])</f>
        <v>6.49</v>
      </c>
      <c r="I101">
        <f>data[[#This Row],[Cost Per Unit]]*data[[#This Row],[Units]]</f>
        <v>1518.66</v>
      </c>
      <c r="J101" s="3">
        <f>data[[#This Row],[Amount]]-data[[#This Row],[Cost]]</f>
        <v>182.33999999999992</v>
      </c>
    </row>
    <row r="102" spans="3:10" x14ac:dyDescent="0.2">
      <c r="C102" t="s">
        <v>41</v>
      </c>
      <c r="D102" t="s">
        <v>37</v>
      </c>
      <c r="E102" t="s">
        <v>15</v>
      </c>
      <c r="F102" s="3">
        <v>714</v>
      </c>
      <c r="G102" s="4">
        <v>231</v>
      </c>
      <c r="H102">
        <f>_xlfn.XLOOKUP(data[[#This Row],[Product]], products[Product],products[Cost per unit])</f>
        <v>11.73</v>
      </c>
      <c r="I102">
        <f>data[[#This Row],[Cost Per Unit]]*data[[#This Row],[Units]]</f>
        <v>2709.63</v>
      </c>
      <c r="J102" s="3">
        <f>data[[#This Row],[Amount]]-data[[#This Row],[Cost]]</f>
        <v>-1995.63</v>
      </c>
    </row>
    <row r="103" spans="3:10" x14ac:dyDescent="0.2">
      <c r="C103" t="s">
        <v>10</v>
      </c>
      <c r="D103" t="s">
        <v>35</v>
      </c>
      <c r="E103" t="s">
        <v>21</v>
      </c>
      <c r="F103" s="3">
        <v>567</v>
      </c>
      <c r="G103" s="4">
        <v>228</v>
      </c>
      <c r="H103">
        <f>_xlfn.XLOOKUP(data[[#This Row],[Product]], products[Product],products[Cost per unit])</f>
        <v>9</v>
      </c>
      <c r="I103">
        <f>data[[#This Row],[Cost Per Unit]]*data[[#This Row],[Units]]</f>
        <v>2052</v>
      </c>
      <c r="J103" s="3">
        <f>data[[#This Row],[Amount]]-data[[#This Row],[Cost]]</f>
        <v>-1485</v>
      </c>
    </row>
    <row r="104" spans="3:10" x14ac:dyDescent="0.2">
      <c r="C104" t="s">
        <v>7</v>
      </c>
      <c r="D104" t="s">
        <v>37</v>
      </c>
      <c r="E104" t="s">
        <v>14</v>
      </c>
      <c r="F104" s="3">
        <v>6608</v>
      </c>
      <c r="G104" s="4">
        <v>225</v>
      </c>
      <c r="H104">
        <f>_xlfn.XLOOKUP(data[[#This Row],[Product]], products[Product],products[Cost per unit])</f>
        <v>11.7</v>
      </c>
      <c r="I104">
        <f>data[[#This Row],[Cost Per Unit]]*data[[#This Row],[Units]]</f>
        <v>2632.5</v>
      </c>
      <c r="J104" s="3">
        <f>data[[#This Row],[Amount]]-data[[#This Row],[Cost]]</f>
        <v>3975.5</v>
      </c>
    </row>
    <row r="105" spans="3:10" x14ac:dyDescent="0.2">
      <c r="C105" t="s">
        <v>40</v>
      </c>
      <c r="D105" t="s">
        <v>39</v>
      </c>
      <c r="E105" t="s">
        <v>28</v>
      </c>
      <c r="F105" s="3">
        <v>3101</v>
      </c>
      <c r="G105" s="4">
        <v>225</v>
      </c>
      <c r="H105">
        <f>_xlfn.XLOOKUP(data[[#This Row],[Product]], products[Product],products[Cost per unit])</f>
        <v>10.38</v>
      </c>
      <c r="I105">
        <f>data[[#This Row],[Cost Per Unit]]*data[[#This Row],[Units]]</f>
        <v>2335.5</v>
      </c>
      <c r="J105" s="3">
        <f>data[[#This Row],[Amount]]-data[[#This Row],[Cost]]</f>
        <v>765.5</v>
      </c>
    </row>
    <row r="106" spans="3:10" x14ac:dyDescent="0.2">
      <c r="C106" t="s">
        <v>41</v>
      </c>
      <c r="D106" t="s">
        <v>34</v>
      </c>
      <c r="E106" t="s">
        <v>16</v>
      </c>
      <c r="F106" s="3">
        <v>1274</v>
      </c>
      <c r="G106" s="4">
        <v>225</v>
      </c>
      <c r="H106">
        <f>_xlfn.XLOOKUP(data[[#This Row],[Product]], products[Product],products[Cost per unit])</f>
        <v>8.7899999999999991</v>
      </c>
      <c r="I106">
        <f>data[[#This Row],[Cost Per Unit]]*data[[#This Row],[Units]]</f>
        <v>1977.7499999999998</v>
      </c>
      <c r="J106" s="3">
        <f>data[[#This Row],[Amount]]-data[[#This Row],[Cost]]</f>
        <v>-703.74999999999977</v>
      </c>
    </row>
    <row r="107" spans="3:10" x14ac:dyDescent="0.2">
      <c r="C107" t="s">
        <v>8</v>
      </c>
      <c r="D107" t="s">
        <v>34</v>
      </c>
      <c r="E107" t="s">
        <v>16</v>
      </c>
      <c r="F107" s="3">
        <v>2009</v>
      </c>
      <c r="G107" s="4">
        <v>219</v>
      </c>
      <c r="H107">
        <f>_xlfn.XLOOKUP(data[[#This Row],[Product]], products[Product],products[Cost per unit])</f>
        <v>8.7899999999999991</v>
      </c>
      <c r="I107">
        <f>data[[#This Row],[Cost Per Unit]]*data[[#This Row],[Units]]</f>
        <v>1925.0099999999998</v>
      </c>
      <c r="J107" s="3">
        <f>data[[#This Row],[Amount]]-data[[#This Row],[Cost]]</f>
        <v>83.990000000000236</v>
      </c>
    </row>
    <row r="108" spans="3:10" x14ac:dyDescent="0.2">
      <c r="C108" t="s">
        <v>41</v>
      </c>
      <c r="D108" t="s">
        <v>35</v>
      </c>
      <c r="E108" t="s">
        <v>28</v>
      </c>
      <c r="F108" s="3">
        <v>7455</v>
      </c>
      <c r="G108" s="4">
        <v>216</v>
      </c>
      <c r="H108">
        <f>_xlfn.XLOOKUP(data[[#This Row],[Product]], products[Product],products[Cost per unit])</f>
        <v>10.38</v>
      </c>
      <c r="I108">
        <f>data[[#This Row],[Cost Per Unit]]*data[[#This Row],[Units]]</f>
        <v>2242.0800000000004</v>
      </c>
      <c r="J108" s="3">
        <f>data[[#This Row],[Amount]]-data[[#This Row],[Cost]]</f>
        <v>5212.92</v>
      </c>
    </row>
    <row r="109" spans="3:10" x14ac:dyDescent="0.2">
      <c r="C109" t="s">
        <v>2</v>
      </c>
      <c r="D109" t="s">
        <v>39</v>
      </c>
      <c r="E109" t="s">
        <v>21</v>
      </c>
      <c r="F109" s="3">
        <v>7651</v>
      </c>
      <c r="G109" s="4">
        <v>213</v>
      </c>
      <c r="H109">
        <f>_xlfn.XLOOKUP(data[[#This Row],[Product]], products[Product],products[Cost per unit])</f>
        <v>9</v>
      </c>
      <c r="I109">
        <f>data[[#This Row],[Cost Per Unit]]*data[[#This Row],[Units]]</f>
        <v>1917</v>
      </c>
      <c r="J109" s="3">
        <f>data[[#This Row],[Amount]]-data[[#This Row],[Cost]]</f>
        <v>5734</v>
      </c>
    </row>
    <row r="110" spans="3:10" x14ac:dyDescent="0.2">
      <c r="C110" t="s">
        <v>8</v>
      </c>
      <c r="D110" t="s">
        <v>38</v>
      </c>
      <c r="E110" t="s">
        <v>32</v>
      </c>
      <c r="F110" s="3">
        <v>3752</v>
      </c>
      <c r="G110" s="4">
        <v>213</v>
      </c>
      <c r="H110">
        <f>_xlfn.XLOOKUP(data[[#This Row],[Product]], products[Product],products[Cost per unit])</f>
        <v>8.65</v>
      </c>
      <c r="I110">
        <f>data[[#This Row],[Cost Per Unit]]*data[[#This Row],[Units]]</f>
        <v>1842.45</v>
      </c>
      <c r="J110" s="3">
        <f>data[[#This Row],[Amount]]-data[[#This Row],[Cost]]</f>
        <v>1909.55</v>
      </c>
    </row>
    <row r="111" spans="3:10" x14ac:dyDescent="0.2">
      <c r="C111" t="s">
        <v>8</v>
      </c>
      <c r="D111" t="s">
        <v>39</v>
      </c>
      <c r="E111" t="s">
        <v>31</v>
      </c>
      <c r="F111" s="3">
        <v>8890</v>
      </c>
      <c r="G111" s="4">
        <v>210</v>
      </c>
      <c r="H111">
        <f>_xlfn.XLOOKUP(data[[#This Row],[Product]], products[Product],products[Cost per unit])</f>
        <v>5.79</v>
      </c>
      <c r="I111">
        <f>data[[#This Row],[Cost Per Unit]]*data[[#This Row],[Units]]</f>
        <v>1215.9000000000001</v>
      </c>
      <c r="J111" s="3">
        <f>data[[#This Row],[Amount]]-data[[#This Row],[Cost]]</f>
        <v>7674.1</v>
      </c>
    </row>
    <row r="112" spans="3:10" x14ac:dyDescent="0.2">
      <c r="C112" t="s">
        <v>8</v>
      </c>
      <c r="D112" t="s">
        <v>35</v>
      </c>
      <c r="E112" t="s">
        <v>22</v>
      </c>
      <c r="F112" s="3">
        <v>5012</v>
      </c>
      <c r="G112" s="4">
        <v>210</v>
      </c>
      <c r="H112">
        <f>_xlfn.XLOOKUP(data[[#This Row],[Product]], products[Product],products[Cost per unit])</f>
        <v>9.77</v>
      </c>
      <c r="I112">
        <f>data[[#This Row],[Cost Per Unit]]*data[[#This Row],[Units]]</f>
        <v>2051.6999999999998</v>
      </c>
      <c r="J112" s="3">
        <f>data[[#This Row],[Amount]]-data[[#This Row],[Cost]]</f>
        <v>2960.3</v>
      </c>
    </row>
    <row r="113" spans="3:10" x14ac:dyDescent="0.2">
      <c r="C113" t="s">
        <v>7</v>
      </c>
      <c r="D113" t="s">
        <v>37</v>
      </c>
      <c r="E113" t="s">
        <v>22</v>
      </c>
      <c r="F113" s="3">
        <v>9835</v>
      </c>
      <c r="G113" s="4">
        <v>207</v>
      </c>
      <c r="H113">
        <f>_xlfn.XLOOKUP(data[[#This Row],[Product]], products[Product],products[Cost per unit])</f>
        <v>9.77</v>
      </c>
      <c r="I113">
        <f>data[[#This Row],[Cost Per Unit]]*data[[#This Row],[Units]]</f>
        <v>2022.3899999999999</v>
      </c>
      <c r="J113" s="3">
        <f>data[[#This Row],[Amount]]-data[[#This Row],[Cost]]</f>
        <v>7812.6100000000006</v>
      </c>
    </row>
    <row r="114" spans="3:10" x14ac:dyDescent="0.2">
      <c r="C114" t="s">
        <v>6</v>
      </c>
      <c r="D114" t="s">
        <v>34</v>
      </c>
      <c r="E114" t="s">
        <v>27</v>
      </c>
      <c r="F114" s="3">
        <v>4242</v>
      </c>
      <c r="G114" s="4">
        <v>207</v>
      </c>
      <c r="H114">
        <f>_xlfn.XLOOKUP(data[[#This Row],[Product]], products[Product],products[Cost per unit])</f>
        <v>16.73</v>
      </c>
      <c r="I114">
        <f>data[[#This Row],[Cost Per Unit]]*data[[#This Row],[Units]]</f>
        <v>3463.11</v>
      </c>
      <c r="J114" s="3">
        <f>data[[#This Row],[Amount]]-data[[#This Row],[Cost]]</f>
        <v>778.88999999999987</v>
      </c>
    </row>
    <row r="115" spans="3:10" x14ac:dyDescent="0.2">
      <c r="C115" t="s">
        <v>9</v>
      </c>
      <c r="D115" t="s">
        <v>37</v>
      </c>
      <c r="E115" t="s">
        <v>4</v>
      </c>
      <c r="F115" s="3">
        <v>259</v>
      </c>
      <c r="G115" s="4">
        <v>207</v>
      </c>
      <c r="H115">
        <f>_xlfn.XLOOKUP(data[[#This Row],[Product]], products[Product],products[Cost per unit])</f>
        <v>11.88</v>
      </c>
      <c r="I115">
        <f>data[[#This Row],[Cost Per Unit]]*data[[#This Row],[Units]]</f>
        <v>2459.1600000000003</v>
      </c>
      <c r="J115" s="3">
        <f>data[[#This Row],[Amount]]-data[[#This Row],[Cost]]</f>
        <v>-2200.1600000000003</v>
      </c>
    </row>
    <row r="116" spans="3:10" x14ac:dyDescent="0.2">
      <c r="C116" t="s">
        <v>10</v>
      </c>
      <c r="D116" t="s">
        <v>34</v>
      </c>
      <c r="E116" t="s">
        <v>19</v>
      </c>
      <c r="F116" s="3">
        <v>5355</v>
      </c>
      <c r="G116" s="4">
        <v>204</v>
      </c>
      <c r="H116">
        <f>_xlfn.XLOOKUP(data[[#This Row],[Product]], products[Product],products[Cost per unit])</f>
        <v>7.64</v>
      </c>
      <c r="I116">
        <f>data[[#This Row],[Cost Per Unit]]*data[[#This Row],[Units]]</f>
        <v>1558.56</v>
      </c>
      <c r="J116" s="3">
        <f>data[[#This Row],[Amount]]-data[[#This Row],[Cost]]</f>
        <v>3796.44</v>
      </c>
    </row>
    <row r="117" spans="3:10" x14ac:dyDescent="0.2">
      <c r="C117" t="s">
        <v>9</v>
      </c>
      <c r="D117" t="s">
        <v>39</v>
      </c>
      <c r="E117" t="s">
        <v>18</v>
      </c>
      <c r="F117" s="3">
        <v>2639</v>
      </c>
      <c r="G117" s="4">
        <v>204</v>
      </c>
      <c r="H117">
        <f>_xlfn.XLOOKUP(data[[#This Row],[Product]], products[Product],products[Cost per unit])</f>
        <v>6.47</v>
      </c>
      <c r="I117">
        <f>data[[#This Row],[Cost Per Unit]]*data[[#This Row],[Units]]</f>
        <v>1319.8799999999999</v>
      </c>
      <c r="J117" s="3">
        <f>data[[#This Row],[Amount]]-data[[#This Row],[Cost]]</f>
        <v>1319.1200000000001</v>
      </c>
    </row>
    <row r="118" spans="3:10" x14ac:dyDescent="0.2">
      <c r="C118" t="s">
        <v>8</v>
      </c>
      <c r="D118" t="s">
        <v>37</v>
      </c>
      <c r="E118" t="s">
        <v>19</v>
      </c>
      <c r="F118" s="3">
        <v>1771</v>
      </c>
      <c r="G118" s="4">
        <v>204</v>
      </c>
      <c r="H118">
        <f>_xlfn.XLOOKUP(data[[#This Row],[Product]], products[Product],products[Cost per unit])</f>
        <v>7.64</v>
      </c>
      <c r="I118">
        <f>data[[#This Row],[Cost Per Unit]]*data[[#This Row],[Units]]</f>
        <v>1558.56</v>
      </c>
      <c r="J118" s="3">
        <f>data[[#This Row],[Amount]]-data[[#This Row],[Cost]]</f>
        <v>212.44000000000005</v>
      </c>
    </row>
    <row r="119" spans="3:10" x14ac:dyDescent="0.2">
      <c r="C119" t="s">
        <v>41</v>
      </c>
      <c r="D119" t="s">
        <v>36</v>
      </c>
      <c r="E119" t="s">
        <v>26</v>
      </c>
      <c r="F119" s="3">
        <v>98</v>
      </c>
      <c r="G119" s="4">
        <v>204</v>
      </c>
      <c r="H119">
        <f>_xlfn.XLOOKUP(data[[#This Row],[Product]], products[Product],products[Cost per unit])</f>
        <v>5.6</v>
      </c>
      <c r="I119">
        <f>data[[#This Row],[Cost Per Unit]]*data[[#This Row],[Units]]</f>
        <v>1142.3999999999999</v>
      </c>
      <c r="J119" s="3">
        <f>data[[#This Row],[Amount]]-data[[#This Row],[Cost]]</f>
        <v>-1044.3999999999999</v>
      </c>
    </row>
    <row r="120" spans="3:10" x14ac:dyDescent="0.2">
      <c r="C120" t="s">
        <v>2</v>
      </c>
      <c r="D120" t="s">
        <v>37</v>
      </c>
      <c r="E120" t="s">
        <v>17</v>
      </c>
      <c r="F120" s="3">
        <v>9926</v>
      </c>
      <c r="G120" s="4">
        <v>201</v>
      </c>
      <c r="H120">
        <f>_xlfn.XLOOKUP(data[[#This Row],[Product]], products[Product],products[Cost per unit])</f>
        <v>3.11</v>
      </c>
      <c r="I120">
        <f>data[[#This Row],[Cost Per Unit]]*data[[#This Row],[Units]]</f>
        <v>625.11</v>
      </c>
      <c r="J120" s="3">
        <f>data[[#This Row],[Amount]]-data[[#This Row],[Cost]]</f>
        <v>9300.89</v>
      </c>
    </row>
    <row r="121" spans="3:10" x14ac:dyDescent="0.2">
      <c r="C121" t="s">
        <v>5</v>
      </c>
      <c r="D121" t="s">
        <v>34</v>
      </c>
      <c r="E121" t="s">
        <v>15</v>
      </c>
      <c r="F121" s="3">
        <v>7280</v>
      </c>
      <c r="G121" s="4">
        <v>201</v>
      </c>
      <c r="H121">
        <f>_xlfn.XLOOKUP(data[[#This Row],[Product]], products[Product],products[Cost per unit])</f>
        <v>11.73</v>
      </c>
      <c r="I121">
        <f>data[[#This Row],[Cost Per Unit]]*data[[#This Row],[Units]]</f>
        <v>2357.73</v>
      </c>
      <c r="J121" s="3">
        <f>data[[#This Row],[Amount]]-data[[#This Row],[Cost]]</f>
        <v>4922.2700000000004</v>
      </c>
    </row>
    <row r="122" spans="3:10" x14ac:dyDescent="0.2">
      <c r="C122" t="s">
        <v>40</v>
      </c>
      <c r="D122" t="s">
        <v>36</v>
      </c>
      <c r="E122" t="s">
        <v>13</v>
      </c>
      <c r="F122" s="3">
        <v>4424</v>
      </c>
      <c r="G122" s="4">
        <v>201</v>
      </c>
      <c r="H122">
        <f>_xlfn.XLOOKUP(data[[#This Row],[Product]], products[Product],products[Cost per unit])</f>
        <v>9.33</v>
      </c>
      <c r="I122">
        <f>data[[#This Row],[Cost Per Unit]]*data[[#This Row],[Units]]</f>
        <v>1875.33</v>
      </c>
      <c r="J122" s="3">
        <f>data[[#This Row],[Amount]]-data[[#This Row],[Cost]]</f>
        <v>2548.67</v>
      </c>
    </row>
    <row r="123" spans="3:10" x14ac:dyDescent="0.2">
      <c r="C123" t="s">
        <v>7</v>
      </c>
      <c r="D123" t="s">
        <v>39</v>
      </c>
      <c r="E123" t="s">
        <v>27</v>
      </c>
      <c r="F123" s="3">
        <v>966</v>
      </c>
      <c r="G123" s="4">
        <v>198</v>
      </c>
      <c r="H123">
        <f>_xlfn.XLOOKUP(data[[#This Row],[Product]], products[Product],products[Cost per unit])</f>
        <v>16.73</v>
      </c>
      <c r="I123">
        <f>data[[#This Row],[Cost Per Unit]]*data[[#This Row],[Units]]</f>
        <v>3312.54</v>
      </c>
      <c r="J123" s="3">
        <f>data[[#This Row],[Amount]]-data[[#This Row],[Cost]]</f>
        <v>-2346.54</v>
      </c>
    </row>
    <row r="124" spans="3:10" x14ac:dyDescent="0.2">
      <c r="C124" t="s">
        <v>10</v>
      </c>
      <c r="D124" t="s">
        <v>35</v>
      </c>
      <c r="E124" t="s">
        <v>20</v>
      </c>
      <c r="F124" s="3">
        <v>1974</v>
      </c>
      <c r="G124" s="4">
        <v>195</v>
      </c>
      <c r="H124">
        <f>_xlfn.XLOOKUP(data[[#This Row],[Product]], products[Product],products[Cost per unit])</f>
        <v>10.62</v>
      </c>
      <c r="I124">
        <f>data[[#This Row],[Cost Per Unit]]*data[[#This Row],[Units]]</f>
        <v>2070.8999999999996</v>
      </c>
      <c r="J124" s="3">
        <f>data[[#This Row],[Amount]]-data[[#This Row],[Cost]]</f>
        <v>-96.899999999999636</v>
      </c>
    </row>
    <row r="125" spans="3:10" x14ac:dyDescent="0.2">
      <c r="C125" t="s">
        <v>8</v>
      </c>
      <c r="D125" t="s">
        <v>37</v>
      </c>
      <c r="E125" t="s">
        <v>22</v>
      </c>
      <c r="F125" s="3">
        <v>1890</v>
      </c>
      <c r="G125" s="4">
        <v>195</v>
      </c>
      <c r="H125">
        <f>_xlfn.XLOOKUP(data[[#This Row],[Product]], products[Product],products[Cost per unit])</f>
        <v>9.77</v>
      </c>
      <c r="I125">
        <f>data[[#This Row],[Cost Per Unit]]*data[[#This Row],[Units]]</f>
        <v>1905.1499999999999</v>
      </c>
      <c r="J125" s="3">
        <f>data[[#This Row],[Amount]]-data[[#This Row],[Cost]]</f>
        <v>-15.149999999999864</v>
      </c>
    </row>
    <row r="126" spans="3:10" x14ac:dyDescent="0.2">
      <c r="C126" t="s">
        <v>5</v>
      </c>
      <c r="D126" t="s">
        <v>34</v>
      </c>
      <c r="E126" t="s">
        <v>19</v>
      </c>
      <c r="F126" s="3">
        <v>861</v>
      </c>
      <c r="G126" s="4">
        <v>195</v>
      </c>
      <c r="H126">
        <f>_xlfn.XLOOKUP(data[[#This Row],[Product]], products[Product],products[Cost per unit])</f>
        <v>7.64</v>
      </c>
      <c r="I126">
        <f>data[[#This Row],[Cost Per Unit]]*data[[#This Row],[Units]]</f>
        <v>1489.8</v>
      </c>
      <c r="J126" s="3">
        <f>data[[#This Row],[Amount]]-data[[#This Row],[Cost]]</f>
        <v>-628.79999999999995</v>
      </c>
    </row>
    <row r="127" spans="3:10" x14ac:dyDescent="0.2">
      <c r="C127" t="s">
        <v>41</v>
      </c>
      <c r="D127" t="s">
        <v>36</v>
      </c>
      <c r="E127" t="s">
        <v>19</v>
      </c>
      <c r="F127" s="3">
        <v>1925</v>
      </c>
      <c r="G127" s="4">
        <v>192</v>
      </c>
      <c r="H127">
        <f>_xlfn.XLOOKUP(data[[#This Row],[Product]], products[Product],products[Cost per unit])</f>
        <v>7.64</v>
      </c>
      <c r="I127">
        <f>data[[#This Row],[Cost Per Unit]]*data[[#This Row],[Units]]</f>
        <v>1466.8799999999999</v>
      </c>
      <c r="J127" s="3">
        <f>data[[#This Row],[Amount]]-data[[#This Row],[Cost]]</f>
        <v>458.12000000000012</v>
      </c>
    </row>
    <row r="128" spans="3:10" x14ac:dyDescent="0.2">
      <c r="C128" t="s">
        <v>7</v>
      </c>
      <c r="D128" t="s">
        <v>34</v>
      </c>
      <c r="E128" t="s">
        <v>24</v>
      </c>
      <c r="F128" s="3">
        <v>8862</v>
      </c>
      <c r="G128" s="4">
        <v>189</v>
      </c>
      <c r="H128">
        <f>_xlfn.XLOOKUP(data[[#This Row],[Product]], products[Product],products[Cost per unit])</f>
        <v>4.97</v>
      </c>
      <c r="I128">
        <f>data[[#This Row],[Cost Per Unit]]*data[[#This Row],[Units]]</f>
        <v>939.32999999999993</v>
      </c>
      <c r="J128" s="3">
        <f>data[[#This Row],[Amount]]-data[[#This Row],[Cost]]</f>
        <v>7922.67</v>
      </c>
    </row>
    <row r="129" spans="3:10" x14ac:dyDescent="0.2">
      <c r="C129" t="s">
        <v>6</v>
      </c>
      <c r="D129" t="s">
        <v>37</v>
      </c>
      <c r="E129" t="s">
        <v>23</v>
      </c>
      <c r="F129" s="3">
        <v>4949</v>
      </c>
      <c r="G129" s="4">
        <v>189</v>
      </c>
      <c r="H129">
        <f>_xlfn.XLOOKUP(data[[#This Row],[Product]], products[Product],products[Cost per unit])</f>
        <v>6.49</v>
      </c>
      <c r="I129">
        <f>data[[#This Row],[Cost Per Unit]]*data[[#This Row],[Units]]</f>
        <v>1226.6100000000001</v>
      </c>
      <c r="J129" s="3">
        <f>data[[#This Row],[Amount]]-data[[#This Row],[Cost]]</f>
        <v>3722.39</v>
      </c>
    </row>
    <row r="130" spans="3:10" x14ac:dyDescent="0.2">
      <c r="C130" t="s">
        <v>9</v>
      </c>
      <c r="D130" t="s">
        <v>36</v>
      </c>
      <c r="E130" t="s">
        <v>32</v>
      </c>
      <c r="F130" s="3">
        <v>2954</v>
      </c>
      <c r="G130" s="4">
        <v>189</v>
      </c>
      <c r="H130">
        <f>_xlfn.XLOOKUP(data[[#This Row],[Product]], products[Product],products[Cost per unit])</f>
        <v>8.65</v>
      </c>
      <c r="I130">
        <f>data[[#This Row],[Cost Per Unit]]*data[[#This Row],[Units]]</f>
        <v>1634.8500000000001</v>
      </c>
      <c r="J130" s="3">
        <f>data[[#This Row],[Amount]]-data[[#This Row],[Cost]]</f>
        <v>1319.1499999999999</v>
      </c>
    </row>
    <row r="131" spans="3:10" x14ac:dyDescent="0.2">
      <c r="C131" t="s">
        <v>9</v>
      </c>
      <c r="D131" t="s">
        <v>34</v>
      </c>
      <c r="E131" t="s">
        <v>16</v>
      </c>
      <c r="F131" s="3">
        <v>938</v>
      </c>
      <c r="G131" s="4">
        <v>189</v>
      </c>
      <c r="H131">
        <f>_xlfn.XLOOKUP(data[[#This Row],[Product]], products[Product],products[Cost per unit])</f>
        <v>8.7899999999999991</v>
      </c>
      <c r="I131">
        <f>data[[#This Row],[Cost Per Unit]]*data[[#This Row],[Units]]</f>
        <v>1661.31</v>
      </c>
      <c r="J131" s="3">
        <f>data[[#This Row],[Amount]]-data[[#This Row],[Cost]]</f>
        <v>-723.31</v>
      </c>
    </row>
    <row r="132" spans="3:10" x14ac:dyDescent="0.2">
      <c r="C132" t="s">
        <v>41</v>
      </c>
      <c r="D132" t="s">
        <v>35</v>
      </c>
      <c r="E132" t="s">
        <v>15</v>
      </c>
      <c r="F132" s="3">
        <v>2114</v>
      </c>
      <c r="G132" s="4">
        <v>186</v>
      </c>
      <c r="H132">
        <f>_xlfn.XLOOKUP(data[[#This Row],[Product]], products[Product],products[Cost per unit])</f>
        <v>11.73</v>
      </c>
      <c r="I132">
        <f>data[[#This Row],[Cost Per Unit]]*data[[#This Row],[Units]]</f>
        <v>2181.7800000000002</v>
      </c>
      <c r="J132" s="3">
        <f>data[[#This Row],[Amount]]-data[[#This Row],[Cost]]</f>
        <v>-67.7800000000002</v>
      </c>
    </row>
    <row r="133" spans="3:10" x14ac:dyDescent="0.2">
      <c r="C133" t="s">
        <v>8</v>
      </c>
      <c r="D133" t="s">
        <v>39</v>
      </c>
      <c r="E133" t="s">
        <v>30</v>
      </c>
      <c r="F133" s="3">
        <v>7021</v>
      </c>
      <c r="G133" s="4">
        <v>183</v>
      </c>
      <c r="H133">
        <f>_xlfn.XLOOKUP(data[[#This Row],[Product]], products[Product],products[Cost per unit])</f>
        <v>14.49</v>
      </c>
      <c r="I133">
        <f>data[[#This Row],[Cost Per Unit]]*data[[#This Row],[Units]]</f>
        <v>2651.67</v>
      </c>
      <c r="J133" s="3">
        <f>data[[#This Row],[Amount]]-data[[#This Row],[Cost]]</f>
        <v>4369.33</v>
      </c>
    </row>
    <row r="134" spans="3:10" x14ac:dyDescent="0.2">
      <c r="C134" t="s">
        <v>2</v>
      </c>
      <c r="D134" t="s">
        <v>38</v>
      </c>
      <c r="E134" t="s">
        <v>28</v>
      </c>
      <c r="F134" s="3">
        <v>6580</v>
      </c>
      <c r="G134" s="4">
        <v>183</v>
      </c>
      <c r="H134">
        <f>_xlfn.XLOOKUP(data[[#This Row],[Product]], products[Product],products[Cost per unit])</f>
        <v>10.38</v>
      </c>
      <c r="I134">
        <f>data[[#This Row],[Cost Per Unit]]*data[[#This Row],[Units]]</f>
        <v>1899.5400000000002</v>
      </c>
      <c r="J134" s="3">
        <f>data[[#This Row],[Amount]]-data[[#This Row],[Cost]]</f>
        <v>4680.46</v>
      </c>
    </row>
    <row r="135" spans="3:10" x14ac:dyDescent="0.2">
      <c r="C135" t="s">
        <v>6</v>
      </c>
      <c r="D135" t="s">
        <v>35</v>
      </c>
      <c r="E135" t="s">
        <v>27</v>
      </c>
      <c r="F135" s="3">
        <v>3864</v>
      </c>
      <c r="G135" s="4">
        <v>177</v>
      </c>
      <c r="H135">
        <f>_xlfn.XLOOKUP(data[[#This Row],[Product]], products[Product],products[Cost per unit])</f>
        <v>16.73</v>
      </c>
      <c r="I135">
        <f>data[[#This Row],[Cost Per Unit]]*data[[#This Row],[Units]]</f>
        <v>2961.21</v>
      </c>
      <c r="J135" s="3">
        <f>data[[#This Row],[Amount]]-data[[#This Row],[Cost]]</f>
        <v>902.79</v>
      </c>
    </row>
    <row r="136" spans="3:10" x14ac:dyDescent="0.2">
      <c r="C136" t="s">
        <v>7</v>
      </c>
      <c r="D136" t="s">
        <v>36</v>
      </c>
      <c r="E136" t="s">
        <v>18</v>
      </c>
      <c r="F136" s="3">
        <v>2646</v>
      </c>
      <c r="G136" s="4">
        <v>177</v>
      </c>
      <c r="H136">
        <f>_xlfn.XLOOKUP(data[[#This Row],[Product]], products[Product],products[Cost per unit])</f>
        <v>6.47</v>
      </c>
      <c r="I136">
        <f>data[[#This Row],[Cost Per Unit]]*data[[#This Row],[Units]]</f>
        <v>1145.19</v>
      </c>
      <c r="J136" s="3">
        <f>data[[#This Row],[Amount]]-data[[#This Row],[Cost]]</f>
        <v>1500.81</v>
      </c>
    </row>
    <row r="137" spans="3:10" x14ac:dyDescent="0.2">
      <c r="C137" t="s">
        <v>41</v>
      </c>
      <c r="D137" t="s">
        <v>37</v>
      </c>
      <c r="E137" t="s">
        <v>26</v>
      </c>
      <c r="F137" s="3">
        <v>2324</v>
      </c>
      <c r="G137" s="4">
        <v>177</v>
      </c>
      <c r="H137">
        <f>_xlfn.XLOOKUP(data[[#This Row],[Product]], products[Product],products[Cost per unit])</f>
        <v>5.6</v>
      </c>
      <c r="I137">
        <f>data[[#This Row],[Cost Per Unit]]*data[[#This Row],[Units]]</f>
        <v>991.19999999999993</v>
      </c>
      <c r="J137" s="3">
        <f>data[[#This Row],[Amount]]-data[[#This Row],[Cost]]</f>
        <v>1332.8000000000002</v>
      </c>
    </row>
    <row r="138" spans="3:10" x14ac:dyDescent="0.2">
      <c r="C138" t="s">
        <v>41</v>
      </c>
      <c r="D138" t="s">
        <v>34</v>
      </c>
      <c r="E138" t="s">
        <v>33</v>
      </c>
      <c r="F138" s="3">
        <v>7847</v>
      </c>
      <c r="G138" s="4">
        <v>174</v>
      </c>
      <c r="H138">
        <f>_xlfn.XLOOKUP(data[[#This Row],[Product]], products[Product],products[Cost per unit])</f>
        <v>12.37</v>
      </c>
      <c r="I138">
        <f>data[[#This Row],[Cost Per Unit]]*data[[#This Row],[Units]]</f>
        <v>2152.3799999999997</v>
      </c>
      <c r="J138" s="3">
        <f>data[[#This Row],[Amount]]-data[[#This Row],[Cost]]</f>
        <v>5694.6200000000008</v>
      </c>
    </row>
    <row r="139" spans="3:10" x14ac:dyDescent="0.2">
      <c r="C139" t="s">
        <v>41</v>
      </c>
      <c r="D139" t="s">
        <v>36</v>
      </c>
      <c r="E139" t="s">
        <v>30</v>
      </c>
      <c r="F139" s="3">
        <v>6118</v>
      </c>
      <c r="G139" s="4">
        <v>174</v>
      </c>
      <c r="H139">
        <f>_xlfn.XLOOKUP(data[[#This Row],[Product]], products[Product],products[Cost per unit])</f>
        <v>14.49</v>
      </c>
      <c r="I139">
        <f>data[[#This Row],[Cost Per Unit]]*data[[#This Row],[Units]]</f>
        <v>2521.2600000000002</v>
      </c>
      <c r="J139" s="3">
        <f>data[[#This Row],[Amount]]-data[[#This Row],[Cost]]</f>
        <v>3596.74</v>
      </c>
    </row>
    <row r="140" spans="3:10" x14ac:dyDescent="0.2">
      <c r="C140" t="s">
        <v>40</v>
      </c>
      <c r="D140" t="s">
        <v>35</v>
      </c>
      <c r="E140" t="s">
        <v>16</v>
      </c>
      <c r="F140" s="3">
        <v>4725</v>
      </c>
      <c r="G140" s="4">
        <v>174</v>
      </c>
      <c r="H140">
        <f>_xlfn.XLOOKUP(data[[#This Row],[Product]], products[Product],products[Cost per unit])</f>
        <v>8.7899999999999991</v>
      </c>
      <c r="I140">
        <f>data[[#This Row],[Cost Per Unit]]*data[[#This Row],[Units]]</f>
        <v>1529.4599999999998</v>
      </c>
      <c r="J140" s="3">
        <f>data[[#This Row],[Amount]]-data[[#This Row],[Cost]]</f>
        <v>3195.54</v>
      </c>
    </row>
    <row r="141" spans="3:10" x14ac:dyDescent="0.2">
      <c r="C141" t="s">
        <v>9</v>
      </c>
      <c r="D141" t="s">
        <v>34</v>
      </c>
      <c r="E141" t="s">
        <v>17</v>
      </c>
      <c r="F141" s="3">
        <v>707</v>
      </c>
      <c r="G141" s="4">
        <v>174</v>
      </c>
      <c r="H141">
        <f>_xlfn.XLOOKUP(data[[#This Row],[Product]], products[Product],products[Cost per unit])</f>
        <v>3.11</v>
      </c>
      <c r="I141">
        <f>data[[#This Row],[Cost Per Unit]]*data[[#This Row],[Units]]</f>
        <v>541.14</v>
      </c>
      <c r="J141" s="3">
        <f>data[[#This Row],[Amount]]-data[[#This Row],[Cost]]</f>
        <v>165.86</v>
      </c>
    </row>
    <row r="142" spans="3:10" x14ac:dyDescent="0.2">
      <c r="C142" t="s">
        <v>3</v>
      </c>
      <c r="D142" t="s">
        <v>39</v>
      </c>
      <c r="E142" t="s">
        <v>26</v>
      </c>
      <c r="F142" s="3">
        <v>4956</v>
      </c>
      <c r="G142" s="4">
        <v>171</v>
      </c>
      <c r="H142">
        <f>_xlfn.XLOOKUP(data[[#This Row],[Product]], products[Product],products[Cost per unit])</f>
        <v>5.6</v>
      </c>
      <c r="I142">
        <f>data[[#This Row],[Cost Per Unit]]*data[[#This Row],[Units]]</f>
        <v>957.59999999999991</v>
      </c>
      <c r="J142" s="3">
        <f>data[[#This Row],[Amount]]-data[[#This Row],[Cost]]</f>
        <v>3998.4</v>
      </c>
    </row>
    <row r="143" spans="3:10" x14ac:dyDescent="0.2">
      <c r="C143" t="s">
        <v>5</v>
      </c>
      <c r="D143" t="s">
        <v>39</v>
      </c>
      <c r="E143" t="s">
        <v>24</v>
      </c>
      <c r="F143" s="3">
        <v>4018</v>
      </c>
      <c r="G143" s="4">
        <v>171</v>
      </c>
      <c r="H143">
        <f>_xlfn.XLOOKUP(data[[#This Row],[Product]], products[Product],products[Cost per unit])</f>
        <v>4.97</v>
      </c>
      <c r="I143">
        <f>data[[#This Row],[Cost Per Unit]]*data[[#This Row],[Units]]</f>
        <v>849.87</v>
      </c>
      <c r="J143" s="3">
        <f>data[[#This Row],[Amount]]-data[[#This Row],[Cost]]</f>
        <v>3168.13</v>
      </c>
    </row>
    <row r="144" spans="3:10" x14ac:dyDescent="0.2">
      <c r="C144" t="s">
        <v>5</v>
      </c>
      <c r="D144" t="s">
        <v>38</v>
      </c>
      <c r="E144" t="s">
        <v>19</v>
      </c>
      <c r="F144" s="3">
        <v>5474</v>
      </c>
      <c r="G144" s="4">
        <v>168</v>
      </c>
      <c r="H144">
        <f>_xlfn.XLOOKUP(data[[#This Row],[Product]], products[Product],products[Cost per unit])</f>
        <v>7.64</v>
      </c>
      <c r="I144">
        <f>data[[#This Row],[Cost Per Unit]]*data[[#This Row],[Units]]</f>
        <v>1283.52</v>
      </c>
      <c r="J144" s="3">
        <f>data[[#This Row],[Amount]]-data[[#This Row],[Cost]]</f>
        <v>4190.4799999999996</v>
      </c>
    </row>
    <row r="145" spans="3:10" x14ac:dyDescent="0.2">
      <c r="C145" t="s">
        <v>8</v>
      </c>
      <c r="D145" t="s">
        <v>35</v>
      </c>
      <c r="E145" t="s">
        <v>29</v>
      </c>
      <c r="F145" s="3">
        <v>2023</v>
      </c>
      <c r="G145" s="4">
        <v>168</v>
      </c>
      <c r="H145">
        <f>_xlfn.XLOOKUP(data[[#This Row],[Product]], products[Product],products[Cost per unit])</f>
        <v>7.16</v>
      </c>
      <c r="I145">
        <f>data[[#This Row],[Cost Per Unit]]*data[[#This Row],[Units]]</f>
        <v>1202.8800000000001</v>
      </c>
      <c r="J145" s="3">
        <f>data[[#This Row],[Amount]]-data[[#This Row],[Cost]]</f>
        <v>820.11999999999989</v>
      </c>
    </row>
    <row r="146" spans="3:10" x14ac:dyDescent="0.2">
      <c r="C146" t="s">
        <v>3</v>
      </c>
      <c r="D146" t="s">
        <v>39</v>
      </c>
      <c r="E146" t="s">
        <v>16</v>
      </c>
      <c r="F146" s="3">
        <v>21</v>
      </c>
      <c r="G146" s="4">
        <v>168</v>
      </c>
      <c r="H146">
        <f>_xlfn.XLOOKUP(data[[#This Row],[Product]], products[Product],products[Cost per unit])</f>
        <v>8.7899999999999991</v>
      </c>
      <c r="I146">
        <f>data[[#This Row],[Cost Per Unit]]*data[[#This Row],[Units]]</f>
        <v>1476.7199999999998</v>
      </c>
      <c r="J146" s="3">
        <f>data[[#This Row],[Amount]]-data[[#This Row],[Cost]]</f>
        <v>-1455.7199999999998</v>
      </c>
    </row>
    <row r="147" spans="3:10" x14ac:dyDescent="0.2">
      <c r="C147" t="s">
        <v>3</v>
      </c>
      <c r="D147" t="s">
        <v>36</v>
      </c>
      <c r="E147" t="s">
        <v>23</v>
      </c>
      <c r="F147" s="3">
        <v>3773</v>
      </c>
      <c r="G147" s="4">
        <v>165</v>
      </c>
      <c r="H147">
        <f>_xlfn.XLOOKUP(data[[#This Row],[Product]], products[Product],products[Cost per unit])</f>
        <v>6.49</v>
      </c>
      <c r="I147">
        <f>data[[#This Row],[Cost Per Unit]]*data[[#This Row],[Units]]</f>
        <v>1070.8500000000001</v>
      </c>
      <c r="J147" s="3">
        <f>data[[#This Row],[Amount]]-data[[#This Row],[Cost]]</f>
        <v>2702.1499999999996</v>
      </c>
    </row>
    <row r="148" spans="3:10" x14ac:dyDescent="0.2">
      <c r="C148" t="s">
        <v>2</v>
      </c>
      <c r="D148" t="s">
        <v>39</v>
      </c>
      <c r="E148" t="s">
        <v>20</v>
      </c>
      <c r="F148" s="3">
        <v>9443</v>
      </c>
      <c r="G148" s="4">
        <v>162</v>
      </c>
      <c r="H148">
        <f>_xlfn.XLOOKUP(data[[#This Row],[Product]], products[Product],products[Cost per unit])</f>
        <v>10.62</v>
      </c>
      <c r="I148">
        <f>data[[#This Row],[Cost Per Unit]]*data[[#This Row],[Units]]</f>
        <v>1720.4399999999998</v>
      </c>
      <c r="J148" s="3">
        <f>data[[#This Row],[Amount]]-data[[#This Row],[Cost]]</f>
        <v>7722.56</v>
      </c>
    </row>
    <row r="149" spans="3:10" x14ac:dyDescent="0.2">
      <c r="C149" t="s">
        <v>40</v>
      </c>
      <c r="D149" t="s">
        <v>34</v>
      </c>
      <c r="E149" t="s">
        <v>19</v>
      </c>
      <c r="F149" s="3">
        <v>4018</v>
      </c>
      <c r="G149" s="4">
        <v>162</v>
      </c>
      <c r="H149">
        <f>_xlfn.XLOOKUP(data[[#This Row],[Product]], products[Product],products[Cost per unit])</f>
        <v>7.64</v>
      </c>
      <c r="I149">
        <f>data[[#This Row],[Cost Per Unit]]*data[[#This Row],[Units]]</f>
        <v>1237.6799999999998</v>
      </c>
      <c r="J149" s="3">
        <f>data[[#This Row],[Amount]]-data[[#This Row],[Cost]]</f>
        <v>2780.32</v>
      </c>
    </row>
    <row r="150" spans="3:10" x14ac:dyDescent="0.2">
      <c r="C150" t="s">
        <v>3</v>
      </c>
      <c r="D150" t="s">
        <v>36</v>
      </c>
      <c r="E150" t="s">
        <v>28</v>
      </c>
      <c r="F150" s="3">
        <v>973</v>
      </c>
      <c r="G150" s="4">
        <v>162</v>
      </c>
      <c r="H150">
        <f>_xlfn.XLOOKUP(data[[#This Row],[Product]], products[Product],products[Cost per unit])</f>
        <v>10.38</v>
      </c>
      <c r="I150">
        <f>data[[#This Row],[Cost Per Unit]]*data[[#This Row],[Units]]</f>
        <v>1681.5600000000002</v>
      </c>
      <c r="J150" s="3">
        <f>data[[#This Row],[Amount]]-data[[#This Row],[Cost]]</f>
        <v>-708.56000000000017</v>
      </c>
    </row>
    <row r="151" spans="3:10" x14ac:dyDescent="0.2">
      <c r="C151" t="s">
        <v>40</v>
      </c>
      <c r="D151" t="s">
        <v>34</v>
      </c>
      <c r="E151" t="s">
        <v>33</v>
      </c>
      <c r="F151" s="3">
        <v>3794</v>
      </c>
      <c r="G151" s="4">
        <v>159</v>
      </c>
      <c r="H151">
        <f>_xlfn.XLOOKUP(data[[#This Row],[Product]], products[Product],products[Cost per unit])</f>
        <v>12.37</v>
      </c>
      <c r="I151">
        <f>data[[#This Row],[Cost Per Unit]]*data[[#This Row],[Units]]</f>
        <v>1966.83</v>
      </c>
      <c r="J151" s="3">
        <f>data[[#This Row],[Amount]]-data[[#This Row],[Cost]]</f>
        <v>1827.17</v>
      </c>
    </row>
    <row r="152" spans="3:10" x14ac:dyDescent="0.2">
      <c r="C152" t="s">
        <v>9</v>
      </c>
      <c r="D152" t="s">
        <v>35</v>
      </c>
      <c r="E152" t="s">
        <v>26</v>
      </c>
      <c r="F152" s="3">
        <v>98</v>
      </c>
      <c r="G152" s="4">
        <v>159</v>
      </c>
      <c r="H152">
        <f>_xlfn.XLOOKUP(data[[#This Row],[Product]], products[Product],products[Cost per unit])</f>
        <v>5.6</v>
      </c>
      <c r="I152">
        <f>data[[#This Row],[Cost Per Unit]]*data[[#This Row],[Units]]</f>
        <v>890.4</v>
      </c>
      <c r="J152" s="3">
        <f>data[[#This Row],[Amount]]-data[[#This Row],[Cost]]</f>
        <v>-792.4</v>
      </c>
    </row>
    <row r="153" spans="3:10" x14ac:dyDescent="0.2">
      <c r="C153" t="s">
        <v>40</v>
      </c>
      <c r="D153" t="s">
        <v>34</v>
      </c>
      <c r="E153" t="s">
        <v>17</v>
      </c>
      <c r="F153" s="3">
        <v>5019</v>
      </c>
      <c r="G153" s="4">
        <v>156</v>
      </c>
      <c r="H153">
        <f>_xlfn.XLOOKUP(data[[#This Row],[Product]], products[Product],products[Cost per unit])</f>
        <v>3.11</v>
      </c>
      <c r="I153">
        <f>data[[#This Row],[Cost Per Unit]]*data[[#This Row],[Units]]</f>
        <v>485.15999999999997</v>
      </c>
      <c r="J153" s="3">
        <f>data[[#This Row],[Amount]]-data[[#This Row],[Cost]]</f>
        <v>4533.84</v>
      </c>
    </row>
    <row r="154" spans="3:10" x14ac:dyDescent="0.2">
      <c r="C154" t="s">
        <v>6</v>
      </c>
      <c r="D154" t="s">
        <v>36</v>
      </c>
      <c r="E154" t="s">
        <v>17</v>
      </c>
      <c r="F154" s="3">
        <v>4970</v>
      </c>
      <c r="G154" s="4">
        <v>156</v>
      </c>
      <c r="H154">
        <f>_xlfn.XLOOKUP(data[[#This Row],[Product]], products[Product],products[Cost per unit])</f>
        <v>3.11</v>
      </c>
      <c r="I154">
        <f>data[[#This Row],[Cost Per Unit]]*data[[#This Row],[Units]]</f>
        <v>485.15999999999997</v>
      </c>
      <c r="J154" s="3">
        <f>data[[#This Row],[Amount]]-data[[#This Row],[Cost]]</f>
        <v>4484.84</v>
      </c>
    </row>
    <row r="155" spans="3:10" x14ac:dyDescent="0.2">
      <c r="C155" t="s">
        <v>9</v>
      </c>
      <c r="D155" t="s">
        <v>37</v>
      </c>
      <c r="E155" t="s">
        <v>25</v>
      </c>
      <c r="F155" s="3">
        <v>4305</v>
      </c>
      <c r="G155" s="4">
        <v>156</v>
      </c>
      <c r="H155">
        <f>_xlfn.XLOOKUP(data[[#This Row],[Product]], products[Product],products[Cost per unit])</f>
        <v>13.15</v>
      </c>
      <c r="I155">
        <f>data[[#This Row],[Cost Per Unit]]*data[[#This Row],[Units]]</f>
        <v>2051.4</v>
      </c>
      <c r="J155" s="3">
        <f>data[[#This Row],[Amount]]-data[[#This Row],[Cost]]</f>
        <v>2253.6</v>
      </c>
    </row>
    <row r="156" spans="3:10" x14ac:dyDescent="0.2">
      <c r="C156" t="s">
        <v>2</v>
      </c>
      <c r="D156" t="s">
        <v>38</v>
      </c>
      <c r="E156" t="s">
        <v>23</v>
      </c>
      <c r="F156" s="3">
        <v>4417</v>
      </c>
      <c r="G156" s="4">
        <v>153</v>
      </c>
      <c r="H156">
        <f>_xlfn.XLOOKUP(data[[#This Row],[Product]], products[Product],products[Cost per unit])</f>
        <v>6.49</v>
      </c>
      <c r="I156">
        <f>data[[#This Row],[Cost Per Unit]]*data[[#This Row],[Units]]</f>
        <v>992.97</v>
      </c>
      <c r="J156" s="3">
        <f>data[[#This Row],[Amount]]-data[[#This Row],[Cost]]</f>
        <v>3424.0299999999997</v>
      </c>
    </row>
    <row r="157" spans="3:10" x14ac:dyDescent="0.2">
      <c r="C157" t="s">
        <v>8</v>
      </c>
      <c r="D157" t="s">
        <v>36</v>
      </c>
      <c r="E157" t="s">
        <v>23</v>
      </c>
      <c r="F157" s="3">
        <v>5019</v>
      </c>
      <c r="G157" s="4">
        <v>150</v>
      </c>
      <c r="H157">
        <f>_xlfn.XLOOKUP(data[[#This Row],[Product]], products[Product],products[Cost per unit])</f>
        <v>6.49</v>
      </c>
      <c r="I157">
        <f>data[[#This Row],[Cost Per Unit]]*data[[#This Row],[Units]]</f>
        <v>973.5</v>
      </c>
      <c r="J157" s="3">
        <f>data[[#This Row],[Amount]]-data[[#This Row],[Cost]]</f>
        <v>4045.5</v>
      </c>
    </row>
    <row r="158" spans="3:10" x14ac:dyDescent="0.2">
      <c r="C158" t="s">
        <v>6</v>
      </c>
      <c r="D158" t="s">
        <v>34</v>
      </c>
      <c r="E158" t="s">
        <v>17</v>
      </c>
      <c r="F158" s="3">
        <v>3759</v>
      </c>
      <c r="G158" s="4">
        <v>150</v>
      </c>
      <c r="H158">
        <f>_xlfn.XLOOKUP(data[[#This Row],[Product]], products[Product],products[Cost per unit])</f>
        <v>3.11</v>
      </c>
      <c r="I158">
        <f>data[[#This Row],[Cost Per Unit]]*data[[#This Row],[Units]]</f>
        <v>466.5</v>
      </c>
      <c r="J158" s="3">
        <f>data[[#This Row],[Amount]]-data[[#This Row],[Cost]]</f>
        <v>3292.5</v>
      </c>
    </row>
    <row r="159" spans="3:10" x14ac:dyDescent="0.2">
      <c r="C159" t="s">
        <v>8</v>
      </c>
      <c r="D159" t="s">
        <v>37</v>
      </c>
      <c r="E159" t="s">
        <v>30</v>
      </c>
      <c r="F159" s="3">
        <v>42</v>
      </c>
      <c r="G159" s="4">
        <v>150</v>
      </c>
      <c r="H159">
        <f>_xlfn.XLOOKUP(data[[#This Row],[Product]], products[Product],products[Cost per unit])</f>
        <v>14.49</v>
      </c>
      <c r="I159">
        <f>data[[#This Row],[Cost Per Unit]]*data[[#This Row],[Units]]</f>
        <v>2173.5</v>
      </c>
      <c r="J159" s="3">
        <f>data[[#This Row],[Amount]]-data[[#This Row],[Cost]]</f>
        <v>-2131.5</v>
      </c>
    </row>
    <row r="160" spans="3:10" x14ac:dyDescent="0.2">
      <c r="C160" t="s">
        <v>9</v>
      </c>
      <c r="D160" t="s">
        <v>35</v>
      </c>
      <c r="E160" t="s">
        <v>4</v>
      </c>
      <c r="F160" s="3">
        <v>959</v>
      </c>
      <c r="G160" s="4">
        <v>147</v>
      </c>
      <c r="H160">
        <f>_xlfn.XLOOKUP(data[[#This Row],[Product]], products[Product],products[Cost per unit])</f>
        <v>11.88</v>
      </c>
      <c r="I160">
        <f>data[[#This Row],[Cost Per Unit]]*data[[#This Row],[Units]]</f>
        <v>1746.3600000000001</v>
      </c>
      <c r="J160" s="3">
        <f>data[[#This Row],[Amount]]-data[[#This Row],[Cost]]</f>
        <v>-787.36000000000013</v>
      </c>
    </row>
    <row r="161" spans="3:10" x14ac:dyDescent="0.2">
      <c r="C161" t="s">
        <v>2</v>
      </c>
      <c r="D161" t="s">
        <v>39</v>
      </c>
      <c r="E161" t="s">
        <v>28</v>
      </c>
      <c r="F161" s="3">
        <v>6027</v>
      </c>
      <c r="G161" s="4">
        <v>144</v>
      </c>
      <c r="H161">
        <f>_xlfn.XLOOKUP(data[[#This Row],[Product]], products[Product],products[Cost per unit])</f>
        <v>10.38</v>
      </c>
      <c r="I161">
        <f>data[[#This Row],[Cost Per Unit]]*data[[#This Row],[Units]]</f>
        <v>1494.72</v>
      </c>
      <c r="J161" s="3">
        <f>data[[#This Row],[Amount]]-data[[#This Row],[Cost]]</f>
        <v>4532.28</v>
      </c>
    </row>
    <row r="162" spans="3:10" x14ac:dyDescent="0.2">
      <c r="C162" t="s">
        <v>3</v>
      </c>
      <c r="D162" t="s">
        <v>37</v>
      </c>
      <c r="E162" t="s">
        <v>17</v>
      </c>
      <c r="F162" s="3">
        <v>3983</v>
      </c>
      <c r="G162" s="4">
        <v>144</v>
      </c>
      <c r="H162">
        <f>_xlfn.XLOOKUP(data[[#This Row],[Product]], products[Product],products[Cost per unit])</f>
        <v>3.11</v>
      </c>
      <c r="I162">
        <f>data[[#This Row],[Cost Per Unit]]*data[[#This Row],[Units]]</f>
        <v>447.84</v>
      </c>
      <c r="J162" s="3">
        <f>data[[#This Row],[Amount]]-data[[#This Row],[Cost]]</f>
        <v>3535.16</v>
      </c>
    </row>
    <row r="163" spans="3:10" x14ac:dyDescent="0.2">
      <c r="C163" t="s">
        <v>9</v>
      </c>
      <c r="D163" t="s">
        <v>35</v>
      </c>
      <c r="E163" t="s">
        <v>27</v>
      </c>
      <c r="F163" s="3">
        <v>2429</v>
      </c>
      <c r="G163" s="4">
        <v>144</v>
      </c>
      <c r="H163">
        <f>_xlfn.XLOOKUP(data[[#This Row],[Product]], products[Product],products[Cost per unit])</f>
        <v>16.73</v>
      </c>
      <c r="I163">
        <f>data[[#This Row],[Cost Per Unit]]*data[[#This Row],[Units]]</f>
        <v>2409.12</v>
      </c>
      <c r="J163" s="3">
        <f>data[[#This Row],[Amount]]-data[[#This Row],[Cost]]</f>
        <v>19.880000000000109</v>
      </c>
    </row>
    <row r="164" spans="3:10" x14ac:dyDescent="0.2">
      <c r="C164" t="s">
        <v>41</v>
      </c>
      <c r="D164" t="s">
        <v>34</v>
      </c>
      <c r="E164" t="s">
        <v>22</v>
      </c>
      <c r="F164" s="3">
        <v>336</v>
      </c>
      <c r="G164" s="4">
        <v>144</v>
      </c>
      <c r="H164">
        <f>_xlfn.XLOOKUP(data[[#This Row],[Product]], products[Product],products[Cost per unit])</f>
        <v>9.77</v>
      </c>
      <c r="I164">
        <f>data[[#This Row],[Cost Per Unit]]*data[[#This Row],[Units]]</f>
        <v>1406.8799999999999</v>
      </c>
      <c r="J164" s="3">
        <f>data[[#This Row],[Amount]]-data[[#This Row],[Cost]]</f>
        <v>-1070.8799999999999</v>
      </c>
    </row>
    <row r="165" spans="3:10" x14ac:dyDescent="0.2">
      <c r="C165" t="s">
        <v>10</v>
      </c>
      <c r="D165" t="s">
        <v>38</v>
      </c>
      <c r="E165" t="s">
        <v>22</v>
      </c>
      <c r="F165" s="3">
        <v>2205</v>
      </c>
      <c r="G165" s="4">
        <v>141</v>
      </c>
      <c r="H165">
        <f>_xlfn.XLOOKUP(data[[#This Row],[Product]], products[Product],products[Cost per unit])</f>
        <v>9.77</v>
      </c>
      <c r="I165">
        <f>data[[#This Row],[Cost Per Unit]]*data[[#This Row],[Units]]</f>
        <v>1377.57</v>
      </c>
      <c r="J165" s="3">
        <f>data[[#This Row],[Amount]]-data[[#This Row],[Cost]]</f>
        <v>827.43000000000006</v>
      </c>
    </row>
    <row r="166" spans="3:10" x14ac:dyDescent="0.2">
      <c r="C166" t="s">
        <v>2</v>
      </c>
      <c r="D166" t="s">
        <v>39</v>
      </c>
      <c r="E166" t="s">
        <v>22</v>
      </c>
      <c r="F166" s="3">
        <v>1568</v>
      </c>
      <c r="G166" s="4">
        <v>141</v>
      </c>
      <c r="H166">
        <f>_xlfn.XLOOKUP(data[[#This Row],[Product]], products[Product],products[Cost per unit])</f>
        <v>9.77</v>
      </c>
      <c r="I166">
        <f>data[[#This Row],[Cost Per Unit]]*data[[#This Row],[Units]]</f>
        <v>1377.57</v>
      </c>
      <c r="J166" s="3">
        <f>data[[#This Row],[Amount]]-data[[#This Row],[Cost]]</f>
        <v>190.43000000000006</v>
      </c>
    </row>
    <row r="167" spans="3:10" x14ac:dyDescent="0.2">
      <c r="C167" t="s">
        <v>7</v>
      </c>
      <c r="D167" t="s">
        <v>34</v>
      </c>
      <c r="E167" t="s">
        <v>20</v>
      </c>
      <c r="F167" s="3">
        <v>2205</v>
      </c>
      <c r="G167" s="4">
        <v>138</v>
      </c>
      <c r="H167">
        <f>_xlfn.XLOOKUP(data[[#This Row],[Product]], products[Product],products[Cost per unit])</f>
        <v>10.62</v>
      </c>
      <c r="I167">
        <f>data[[#This Row],[Cost Per Unit]]*data[[#This Row],[Units]]</f>
        <v>1465.56</v>
      </c>
      <c r="J167" s="3">
        <f>data[[#This Row],[Amount]]-data[[#This Row],[Cost]]</f>
        <v>739.44</v>
      </c>
    </row>
    <row r="168" spans="3:10" x14ac:dyDescent="0.2">
      <c r="C168" t="s">
        <v>40</v>
      </c>
      <c r="D168" t="s">
        <v>34</v>
      </c>
      <c r="E168" t="s">
        <v>27</v>
      </c>
      <c r="F168" s="3">
        <v>2289</v>
      </c>
      <c r="G168" s="4">
        <v>135</v>
      </c>
      <c r="H168">
        <f>_xlfn.XLOOKUP(data[[#This Row],[Product]], products[Product],products[Cost per unit])</f>
        <v>16.73</v>
      </c>
      <c r="I168">
        <f>data[[#This Row],[Cost Per Unit]]*data[[#This Row],[Units]]</f>
        <v>2258.5500000000002</v>
      </c>
      <c r="J168" s="3">
        <f>data[[#This Row],[Amount]]-data[[#This Row],[Cost]]</f>
        <v>30.449999999999818</v>
      </c>
    </row>
    <row r="169" spans="3:10" x14ac:dyDescent="0.2">
      <c r="C169" t="s">
        <v>6</v>
      </c>
      <c r="D169" t="s">
        <v>36</v>
      </c>
      <c r="E169" t="s">
        <v>29</v>
      </c>
      <c r="F169" s="3">
        <v>1400</v>
      </c>
      <c r="G169" s="4">
        <v>135</v>
      </c>
      <c r="H169">
        <f>_xlfn.XLOOKUP(data[[#This Row],[Product]], products[Product],products[Cost per unit])</f>
        <v>7.16</v>
      </c>
      <c r="I169">
        <f>data[[#This Row],[Cost Per Unit]]*data[[#This Row],[Units]]</f>
        <v>966.6</v>
      </c>
      <c r="J169" s="3">
        <f>data[[#This Row],[Amount]]-data[[#This Row],[Cost]]</f>
        <v>433.4</v>
      </c>
    </row>
    <row r="170" spans="3:10" x14ac:dyDescent="0.2">
      <c r="C170" t="s">
        <v>6</v>
      </c>
      <c r="D170" t="s">
        <v>38</v>
      </c>
      <c r="E170" t="s">
        <v>33</v>
      </c>
      <c r="F170" s="3">
        <v>959</v>
      </c>
      <c r="G170" s="4">
        <v>135</v>
      </c>
      <c r="H170">
        <f>_xlfn.XLOOKUP(data[[#This Row],[Product]], products[Product],products[Cost per unit])</f>
        <v>12.37</v>
      </c>
      <c r="I170">
        <f>data[[#This Row],[Cost Per Unit]]*data[[#This Row],[Units]]</f>
        <v>1669.9499999999998</v>
      </c>
      <c r="J170" s="3">
        <f>data[[#This Row],[Amount]]-data[[#This Row],[Cost]]</f>
        <v>-710.94999999999982</v>
      </c>
    </row>
    <row r="171" spans="3:10" x14ac:dyDescent="0.2">
      <c r="C171" t="s">
        <v>40</v>
      </c>
      <c r="D171" t="s">
        <v>39</v>
      </c>
      <c r="E171" t="s">
        <v>29</v>
      </c>
      <c r="F171" s="3">
        <v>0</v>
      </c>
      <c r="G171" s="4">
        <v>135</v>
      </c>
      <c r="H171">
        <f>_xlfn.XLOOKUP(data[[#This Row],[Product]], products[Product],products[Cost per unit])</f>
        <v>7.16</v>
      </c>
      <c r="I171">
        <f>data[[#This Row],[Cost Per Unit]]*data[[#This Row],[Units]]</f>
        <v>966.6</v>
      </c>
      <c r="J171" s="3">
        <f>data[[#This Row],[Amount]]-data[[#This Row],[Cost]]</f>
        <v>-966.6</v>
      </c>
    </row>
    <row r="172" spans="3:10" x14ac:dyDescent="0.2">
      <c r="C172" t="s">
        <v>41</v>
      </c>
      <c r="D172" t="s">
        <v>35</v>
      </c>
      <c r="E172" t="s">
        <v>27</v>
      </c>
      <c r="F172" s="3">
        <v>847</v>
      </c>
      <c r="G172" s="4">
        <v>129</v>
      </c>
      <c r="H172">
        <f>_xlfn.XLOOKUP(data[[#This Row],[Product]], products[Product],products[Cost per unit])</f>
        <v>16.73</v>
      </c>
      <c r="I172">
        <f>data[[#This Row],[Cost Per Unit]]*data[[#This Row],[Units]]</f>
        <v>2158.17</v>
      </c>
      <c r="J172" s="3">
        <f>data[[#This Row],[Amount]]-data[[#This Row],[Cost]]</f>
        <v>-1311.17</v>
      </c>
    </row>
    <row r="173" spans="3:10" x14ac:dyDescent="0.2">
      <c r="C173" t="s">
        <v>10</v>
      </c>
      <c r="D173" t="s">
        <v>38</v>
      </c>
      <c r="E173" t="s">
        <v>4</v>
      </c>
      <c r="F173" s="3">
        <v>6860</v>
      </c>
      <c r="G173" s="4">
        <v>126</v>
      </c>
      <c r="H173">
        <f>_xlfn.XLOOKUP(data[[#This Row],[Product]], products[Product],products[Cost per unit])</f>
        <v>11.88</v>
      </c>
      <c r="I173">
        <f>data[[#This Row],[Cost Per Unit]]*data[[#This Row],[Units]]</f>
        <v>1496.88</v>
      </c>
      <c r="J173" s="3">
        <f>data[[#This Row],[Amount]]-data[[#This Row],[Cost]]</f>
        <v>5363.12</v>
      </c>
    </row>
    <row r="174" spans="3:10" x14ac:dyDescent="0.2">
      <c r="C174" t="s">
        <v>41</v>
      </c>
      <c r="D174" t="s">
        <v>34</v>
      </c>
      <c r="E174" t="s">
        <v>23</v>
      </c>
      <c r="F174" s="3">
        <v>4935</v>
      </c>
      <c r="G174" s="4">
        <v>126</v>
      </c>
      <c r="H174">
        <f>_xlfn.XLOOKUP(data[[#This Row],[Product]], products[Product],products[Cost per unit])</f>
        <v>6.49</v>
      </c>
      <c r="I174">
        <f>data[[#This Row],[Cost Per Unit]]*data[[#This Row],[Units]]</f>
        <v>817.74</v>
      </c>
      <c r="J174" s="3">
        <f>data[[#This Row],[Amount]]-data[[#This Row],[Cost]]</f>
        <v>4117.26</v>
      </c>
    </row>
    <row r="175" spans="3:10" x14ac:dyDescent="0.2">
      <c r="C175" t="s">
        <v>2</v>
      </c>
      <c r="D175" t="s">
        <v>39</v>
      </c>
      <c r="E175" t="s">
        <v>33</v>
      </c>
      <c r="F175" s="3">
        <v>4018</v>
      </c>
      <c r="G175" s="4">
        <v>126</v>
      </c>
      <c r="H175">
        <f>_xlfn.XLOOKUP(data[[#This Row],[Product]], products[Product],products[Cost per unit])</f>
        <v>12.37</v>
      </c>
      <c r="I175">
        <f>data[[#This Row],[Cost Per Unit]]*data[[#This Row],[Units]]</f>
        <v>1558.62</v>
      </c>
      <c r="J175" s="3">
        <f>data[[#This Row],[Amount]]-data[[#This Row],[Cost]]</f>
        <v>2459.38</v>
      </c>
    </row>
    <row r="176" spans="3:10" x14ac:dyDescent="0.2">
      <c r="C176" t="s">
        <v>40</v>
      </c>
      <c r="D176" t="s">
        <v>35</v>
      </c>
      <c r="E176" t="s">
        <v>29</v>
      </c>
      <c r="F176" s="3">
        <v>1617</v>
      </c>
      <c r="G176" s="4">
        <v>126</v>
      </c>
      <c r="H176">
        <f>_xlfn.XLOOKUP(data[[#This Row],[Product]], products[Product],products[Cost per unit])</f>
        <v>7.16</v>
      </c>
      <c r="I176">
        <f>data[[#This Row],[Cost Per Unit]]*data[[#This Row],[Units]]</f>
        <v>902.16</v>
      </c>
      <c r="J176" s="3">
        <f>data[[#This Row],[Amount]]-data[[#This Row],[Cost]]</f>
        <v>714.84</v>
      </c>
    </row>
    <row r="177" spans="3:10" x14ac:dyDescent="0.2">
      <c r="C177" t="s">
        <v>8</v>
      </c>
      <c r="D177" t="s">
        <v>35</v>
      </c>
      <c r="E177" t="s">
        <v>33</v>
      </c>
      <c r="F177" s="3">
        <v>357</v>
      </c>
      <c r="G177" s="4">
        <v>126</v>
      </c>
      <c r="H177">
        <f>_xlfn.XLOOKUP(data[[#This Row],[Product]], products[Product],products[Cost per unit])</f>
        <v>12.37</v>
      </c>
      <c r="I177">
        <f>data[[#This Row],[Cost Per Unit]]*data[[#This Row],[Units]]</f>
        <v>1558.62</v>
      </c>
      <c r="J177" s="3">
        <f>data[[#This Row],[Amount]]-data[[#This Row],[Cost]]</f>
        <v>-1201.6199999999999</v>
      </c>
    </row>
    <row r="178" spans="3:10" x14ac:dyDescent="0.2">
      <c r="C178" t="s">
        <v>6</v>
      </c>
      <c r="D178" t="s">
        <v>34</v>
      </c>
      <c r="E178" t="s">
        <v>32</v>
      </c>
      <c r="F178" s="3">
        <v>6734</v>
      </c>
      <c r="G178" s="4">
        <v>123</v>
      </c>
      <c r="H178">
        <f>_xlfn.XLOOKUP(data[[#This Row],[Product]], products[Product],products[Cost per unit])</f>
        <v>8.65</v>
      </c>
      <c r="I178">
        <f>data[[#This Row],[Cost Per Unit]]*data[[#This Row],[Units]]</f>
        <v>1063.95</v>
      </c>
      <c r="J178" s="3">
        <f>data[[#This Row],[Amount]]-data[[#This Row],[Cost]]</f>
        <v>5670.05</v>
      </c>
    </row>
    <row r="179" spans="3:10" x14ac:dyDescent="0.2">
      <c r="C179" t="s">
        <v>6</v>
      </c>
      <c r="D179" t="s">
        <v>35</v>
      </c>
      <c r="E179" t="s">
        <v>30</v>
      </c>
      <c r="F179" s="3">
        <v>4781</v>
      </c>
      <c r="G179" s="4">
        <v>123</v>
      </c>
      <c r="H179">
        <f>_xlfn.XLOOKUP(data[[#This Row],[Product]], products[Product],products[Cost per unit])</f>
        <v>14.49</v>
      </c>
      <c r="I179">
        <f>data[[#This Row],[Cost Per Unit]]*data[[#This Row],[Units]]</f>
        <v>1782.27</v>
      </c>
      <c r="J179" s="3">
        <f>data[[#This Row],[Amount]]-data[[#This Row],[Cost]]</f>
        <v>2998.73</v>
      </c>
    </row>
    <row r="180" spans="3:10" x14ac:dyDescent="0.2">
      <c r="C180" t="s">
        <v>41</v>
      </c>
      <c r="D180" t="s">
        <v>37</v>
      </c>
      <c r="E180" t="s">
        <v>20</v>
      </c>
      <c r="F180" s="3">
        <v>3388</v>
      </c>
      <c r="G180" s="4">
        <v>123</v>
      </c>
      <c r="H180">
        <f>_xlfn.XLOOKUP(data[[#This Row],[Product]], products[Product],products[Cost per unit])</f>
        <v>10.62</v>
      </c>
      <c r="I180">
        <f>data[[#This Row],[Cost Per Unit]]*data[[#This Row],[Units]]</f>
        <v>1306.26</v>
      </c>
      <c r="J180" s="3">
        <f>data[[#This Row],[Amount]]-data[[#This Row],[Cost]]</f>
        <v>2081.7399999999998</v>
      </c>
    </row>
    <row r="181" spans="3:10" x14ac:dyDescent="0.2">
      <c r="C181" t="s">
        <v>6</v>
      </c>
      <c r="D181" t="s">
        <v>38</v>
      </c>
      <c r="E181" t="s">
        <v>13</v>
      </c>
      <c r="F181" s="3">
        <v>2317</v>
      </c>
      <c r="G181" s="4">
        <v>123</v>
      </c>
      <c r="H181">
        <f>_xlfn.XLOOKUP(data[[#This Row],[Product]], products[Product],products[Cost per unit])</f>
        <v>9.33</v>
      </c>
      <c r="I181">
        <f>data[[#This Row],[Cost Per Unit]]*data[[#This Row],[Units]]</f>
        <v>1147.5899999999999</v>
      </c>
      <c r="J181" s="3">
        <f>data[[#This Row],[Amount]]-data[[#This Row],[Cost]]</f>
        <v>1169.4100000000001</v>
      </c>
    </row>
    <row r="182" spans="3:10" x14ac:dyDescent="0.2">
      <c r="C182" t="s">
        <v>10</v>
      </c>
      <c r="D182" t="s">
        <v>38</v>
      </c>
      <c r="E182" t="s">
        <v>13</v>
      </c>
      <c r="F182" s="3">
        <v>63</v>
      </c>
      <c r="G182" s="4">
        <v>123</v>
      </c>
      <c r="H182">
        <f>_xlfn.XLOOKUP(data[[#This Row],[Product]], products[Product],products[Cost per unit])</f>
        <v>9.33</v>
      </c>
      <c r="I182">
        <f>data[[#This Row],[Cost Per Unit]]*data[[#This Row],[Units]]</f>
        <v>1147.5899999999999</v>
      </c>
      <c r="J182" s="3">
        <f>data[[#This Row],[Amount]]-data[[#This Row],[Cost]]</f>
        <v>-1084.5899999999999</v>
      </c>
    </row>
    <row r="183" spans="3:10" x14ac:dyDescent="0.2">
      <c r="C183" t="s">
        <v>6</v>
      </c>
      <c r="D183" t="s">
        <v>36</v>
      </c>
      <c r="E183" t="s">
        <v>4</v>
      </c>
      <c r="F183" s="3">
        <v>10073</v>
      </c>
      <c r="G183" s="4">
        <v>120</v>
      </c>
      <c r="H183">
        <f>_xlfn.XLOOKUP(data[[#This Row],[Product]], products[Product],products[Cost per unit])</f>
        <v>11.88</v>
      </c>
      <c r="I183">
        <f>data[[#This Row],[Cost Per Unit]]*data[[#This Row],[Units]]</f>
        <v>1425.6000000000001</v>
      </c>
      <c r="J183" s="3">
        <f>data[[#This Row],[Amount]]-data[[#This Row],[Cost]]</f>
        <v>8647.4</v>
      </c>
    </row>
    <row r="184" spans="3:10" x14ac:dyDescent="0.2">
      <c r="C184" t="s">
        <v>2</v>
      </c>
      <c r="D184" t="s">
        <v>34</v>
      </c>
      <c r="E184" t="s">
        <v>19</v>
      </c>
      <c r="F184" s="3">
        <v>7511</v>
      </c>
      <c r="G184" s="4">
        <v>120</v>
      </c>
      <c r="H184">
        <f>_xlfn.XLOOKUP(data[[#This Row],[Product]], products[Product],products[Cost per unit])</f>
        <v>7.64</v>
      </c>
      <c r="I184">
        <f>data[[#This Row],[Cost Per Unit]]*data[[#This Row],[Units]]</f>
        <v>916.8</v>
      </c>
      <c r="J184" s="3">
        <f>data[[#This Row],[Amount]]-data[[#This Row],[Cost]]</f>
        <v>6594.2</v>
      </c>
    </row>
    <row r="185" spans="3:10" x14ac:dyDescent="0.2">
      <c r="C185" t="s">
        <v>9</v>
      </c>
      <c r="D185" t="s">
        <v>38</v>
      </c>
      <c r="E185" t="s">
        <v>16</v>
      </c>
      <c r="F185" s="3">
        <v>2646</v>
      </c>
      <c r="G185" s="4">
        <v>120</v>
      </c>
      <c r="H185">
        <f>_xlfn.XLOOKUP(data[[#This Row],[Product]], products[Product],products[Cost per unit])</f>
        <v>8.7899999999999991</v>
      </c>
      <c r="I185">
        <f>data[[#This Row],[Cost Per Unit]]*data[[#This Row],[Units]]</f>
        <v>1054.8</v>
      </c>
      <c r="J185" s="3">
        <f>data[[#This Row],[Amount]]-data[[#This Row],[Cost]]</f>
        <v>1591.2</v>
      </c>
    </row>
    <row r="186" spans="3:10" x14ac:dyDescent="0.2">
      <c r="C186" t="s">
        <v>3</v>
      </c>
      <c r="D186" t="s">
        <v>34</v>
      </c>
      <c r="E186" t="s">
        <v>23</v>
      </c>
      <c r="F186" s="3">
        <v>2212</v>
      </c>
      <c r="G186" s="4">
        <v>117</v>
      </c>
      <c r="H186">
        <f>_xlfn.XLOOKUP(data[[#This Row],[Product]], products[Product],products[Cost per unit])</f>
        <v>6.49</v>
      </c>
      <c r="I186">
        <f>data[[#This Row],[Cost Per Unit]]*data[[#This Row],[Units]]</f>
        <v>759.33</v>
      </c>
      <c r="J186" s="3">
        <f>data[[#This Row],[Amount]]-data[[#This Row],[Cost]]</f>
        <v>1452.67</v>
      </c>
    </row>
    <row r="187" spans="3:10" x14ac:dyDescent="0.2">
      <c r="C187" t="s">
        <v>7</v>
      </c>
      <c r="D187" t="s">
        <v>36</v>
      </c>
      <c r="E187" t="s">
        <v>31</v>
      </c>
      <c r="F187" s="3">
        <v>2149</v>
      </c>
      <c r="G187" s="4">
        <v>117</v>
      </c>
      <c r="H187">
        <f>_xlfn.XLOOKUP(data[[#This Row],[Product]], products[Product],products[Cost per unit])</f>
        <v>5.79</v>
      </c>
      <c r="I187">
        <f>data[[#This Row],[Cost Per Unit]]*data[[#This Row],[Units]]</f>
        <v>677.43</v>
      </c>
      <c r="J187" s="3">
        <f>data[[#This Row],[Amount]]-data[[#This Row],[Cost]]</f>
        <v>1471.5700000000002</v>
      </c>
    </row>
    <row r="188" spans="3:10" x14ac:dyDescent="0.2">
      <c r="C188" t="s">
        <v>2</v>
      </c>
      <c r="D188" t="s">
        <v>39</v>
      </c>
      <c r="E188" t="s">
        <v>16</v>
      </c>
      <c r="F188" s="3">
        <v>2016</v>
      </c>
      <c r="G188" s="4">
        <v>117</v>
      </c>
      <c r="H188">
        <f>_xlfn.XLOOKUP(data[[#This Row],[Product]], products[Product],products[Cost per unit])</f>
        <v>8.7899999999999991</v>
      </c>
      <c r="I188">
        <f>data[[#This Row],[Cost Per Unit]]*data[[#This Row],[Units]]</f>
        <v>1028.4299999999998</v>
      </c>
      <c r="J188" s="3">
        <f>data[[#This Row],[Amount]]-data[[#This Row],[Cost]]</f>
        <v>987.57000000000016</v>
      </c>
    </row>
    <row r="189" spans="3:10" x14ac:dyDescent="0.2">
      <c r="C189" t="s">
        <v>7</v>
      </c>
      <c r="D189" t="s">
        <v>35</v>
      </c>
      <c r="E189" t="s">
        <v>24</v>
      </c>
      <c r="F189" s="3">
        <v>2793</v>
      </c>
      <c r="G189" s="4">
        <v>114</v>
      </c>
      <c r="H189">
        <f>_xlfn.XLOOKUP(data[[#This Row],[Product]], products[Product],products[Cost per unit])</f>
        <v>4.97</v>
      </c>
      <c r="I189">
        <f>data[[#This Row],[Cost Per Unit]]*data[[#This Row],[Units]]</f>
        <v>566.57999999999993</v>
      </c>
      <c r="J189" s="3">
        <f>data[[#This Row],[Amount]]-data[[#This Row],[Cost]]</f>
        <v>2226.42</v>
      </c>
    </row>
    <row r="190" spans="3:10" x14ac:dyDescent="0.2">
      <c r="C190" t="s">
        <v>9</v>
      </c>
      <c r="D190" t="s">
        <v>36</v>
      </c>
      <c r="E190" t="s">
        <v>25</v>
      </c>
      <c r="F190" s="3">
        <v>2142</v>
      </c>
      <c r="G190" s="4">
        <v>114</v>
      </c>
      <c r="H190">
        <f>_xlfn.XLOOKUP(data[[#This Row],[Product]], products[Product],products[Cost per unit])</f>
        <v>13.15</v>
      </c>
      <c r="I190">
        <f>data[[#This Row],[Cost Per Unit]]*data[[#This Row],[Units]]</f>
        <v>1499.1000000000001</v>
      </c>
      <c r="J190" s="3">
        <f>data[[#This Row],[Amount]]-data[[#This Row],[Cost]]</f>
        <v>642.89999999999986</v>
      </c>
    </row>
    <row r="191" spans="3:10" x14ac:dyDescent="0.2">
      <c r="C191" t="s">
        <v>40</v>
      </c>
      <c r="D191" t="s">
        <v>37</v>
      </c>
      <c r="E191" t="s">
        <v>30</v>
      </c>
      <c r="F191" s="3">
        <v>1624</v>
      </c>
      <c r="G191" s="4">
        <v>114</v>
      </c>
      <c r="H191">
        <f>_xlfn.XLOOKUP(data[[#This Row],[Product]], products[Product],products[Cost per unit])</f>
        <v>14.49</v>
      </c>
      <c r="I191">
        <f>data[[#This Row],[Cost Per Unit]]*data[[#This Row],[Units]]</f>
        <v>1651.8600000000001</v>
      </c>
      <c r="J191" s="3">
        <f>data[[#This Row],[Amount]]-data[[#This Row],[Cost]]</f>
        <v>-27.860000000000127</v>
      </c>
    </row>
    <row r="192" spans="3:10" x14ac:dyDescent="0.2">
      <c r="C192" t="s">
        <v>7</v>
      </c>
      <c r="D192" t="s">
        <v>37</v>
      </c>
      <c r="E192" t="s">
        <v>17</v>
      </c>
      <c r="F192" s="3">
        <v>4487</v>
      </c>
      <c r="G192" s="4">
        <v>111</v>
      </c>
      <c r="H192">
        <f>_xlfn.XLOOKUP(data[[#This Row],[Product]], products[Product],products[Cost per unit])</f>
        <v>3.11</v>
      </c>
      <c r="I192">
        <f>data[[#This Row],[Cost Per Unit]]*data[[#This Row],[Units]]</f>
        <v>345.21</v>
      </c>
      <c r="J192" s="3">
        <f>data[[#This Row],[Amount]]-data[[#This Row],[Cost]]</f>
        <v>4141.79</v>
      </c>
    </row>
    <row r="193" spans="3:10" x14ac:dyDescent="0.2">
      <c r="C193" t="s">
        <v>5</v>
      </c>
      <c r="D193" t="s">
        <v>36</v>
      </c>
      <c r="E193" t="s">
        <v>30</v>
      </c>
      <c r="F193" s="3">
        <v>1526</v>
      </c>
      <c r="G193" s="4">
        <v>105</v>
      </c>
      <c r="H193">
        <f>_xlfn.XLOOKUP(data[[#This Row],[Product]], products[Product],products[Cost per unit])</f>
        <v>14.49</v>
      </c>
      <c r="I193">
        <f>data[[#This Row],[Cost Per Unit]]*data[[#This Row],[Units]]</f>
        <v>1521.45</v>
      </c>
      <c r="J193" s="3">
        <f>data[[#This Row],[Amount]]-data[[#This Row],[Cost]]</f>
        <v>4.5499999999999545</v>
      </c>
    </row>
    <row r="194" spans="3:10" x14ac:dyDescent="0.2">
      <c r="C194" t="s">
        <v>41</v>
      </c>
      <c r="D194" t="s">
        <v>37</v>
      </c>
      <c r="E194" t="s">
        <v>24</v>
      </c>
      <c r="F194" s="3">
        <v>6398</v>
      </c>
      <c r="G194" s="4">
        <v>102</v>
      </c>
      <c r="H194">
        <f>_xlfn.XLOOKUP(data[[#This Row],[Product]], products[Product],products[Cost per unit])</f>
        <v>4.97</v>
      </c>
      <c r="I194">
        <f>data[[#This Row],[Cost Per Unit]]*data[[#This Row],[Units]]</f>
        <v>506.94</v>
      </c>
      <c r="J194" s="3">
        <f>data[[#This Row],[Amount]]-data[[#This Row],[Cost]]</f>
        <v>5891.06</v>
      </c>
    </row>
    <row r="195" spans="3:10" x14ac:dyDescent="0.2">
      <c r="C195" t="s">
        <v>40</v>
      </c>
      <c r="D195" t="s">
        <v>38</v>
      </c>
      <c r="E195" t="s">
        <v>4</v>
      </c>
      <c r="F195" s="3">
        <v>6125</v>
      </c>
      <c r="G195" s="4">
        <v>102</v>
      </c>
      <c r="H195">
        <f>_xlfn.XLOOKUP(data[[#This Row],[Product]], products[Product],products[Cost per unit])</f>
        <v>11.88</v>
      </c>
      <c r="I195">
        <f>data[[#This Row],[Cost Per Unit]]*data[[#This Row],[Units]]</f>
        <v>1211.76</v>
      </c>
      <c r="J195" s="3">
        <f>data[[#This Row],[Amount]]-data[[#This Row],[Cost]]</f>
        <v>4913.24</v>
      </c>
    </row>
    <row r="196" spans="3:10" x14ac:dyDescent="0.2">
      <c r="C196" t="s">
        <v>9</v>
      </c>
      <c r="D196" t="s">
        <v>38</v>
      </c>
      <c r="E196" t="s">
        <v>25</v>
      </c>
      <c r="F196" s="3">
        <v>3850</v>
      </c>
      <c r="G196" s="4">
        <v>102</v>
      </c>
      <c r="H196">
        <f>_xlfn.XLOOKUP(data[[#This Row],[Product]], products[Product],products[Cost per unit])</f>
        <v>13.15</v>
      </c>
      <c r="I196">
        <f>data[[#This Row],[Cost Per Unit]]*data[[#This Row],[Units]]</f>
        <v>1341.3</v>
      </c>
      <c r="J196" s="3">
        <f>data[[#This Row],[Amount]]-data[[#This Row],[Cost]]</f>
        <v>2508.6999999999998</v>
      </c>
    </row>
    <row r="197" spans="3:10" x14ac:dyDescent="0.2">
      <c r="C197" t="s">
        <v>5</v>
      </c>
      <c r="D197" t="s">
        <v>34</v>
      </c>
      <c r="E197" t="s">
        <v>29</v>
      </c>
      <c r="F197" s="3">
        <v>2891</v>
      </c>
      <c r="G197" s="4">
        <v>102</v>
      </c>
      <c r="H197">
        <f>_xlfn.XLOOKUP(data[[#This Row],[Product]], products[Product],products[Cost per unit])</f>
        <v>7.16</v>
      </c>
      <c r="I197">
        <f>data[[#This Row],[Cost Per Unit]]*data[[#This Row],[Units]]</f>
        <v>730.32</v>
      </c>
      <c r="J197" s="3">
        <f>data[[#This Row],[Amount]]-data[[#This Row],[Cost]]</f>
        <v>2160.6799999999998</v>
      </c>
    </row>
    <row r="198" spans="3:10" x14ac:dyDescent="0.2">
      <c r="C198" t="s">
        <v>3</v>
      </c>
      <c r="D198" t="s">
        <v>39</v>
      </c>
      <c r="E198" t="s">
        <v>28</v>
      </c>
      <c r="F198" s="3">
        <v>1652</v>
      </c>
      <c r="G198" s="4">
        <v>102</v>
      </c>
      <c r="H198">
        <f>_xlfn.XLOOKUP(data[[#This Row],[Product]], products[Product],products[Cost per unit])</f>
        <v>10.38</v>
      </c>
      <c r="I198">
        <f>data[[#This Row],[Cost Per Unit]]*data[[#This Row],[Units]]</f>
        <v>1058.76</v>
      </c>
      <c r="J198" s="3">
        <f>data[[#This Row],[Amount]]-data[[#This Row],[Cost]]</f>
        <v>593.24</v>
      </c>
    </row>
    <row r="199" spans="3:10" x14ac:dyDescent="0.2">
      <c r="C199" t="s">
        <v>6</v>
      </c>
      <c r="D199" t="s">
        <v>37</v>
      </c>
      <c r="E199" t="s">
        <v>18</v>
      </c>
      <c r="F199" s="3">
        <v>1505</v>
      </c>
      <c r="G199" s="4">
        <v>102</v>
      </c>
      <c r="H199">
        <f>_xlfn.XLOOKUP(data[[#This Row],[Product]], products[Product],products[Cost per unit])</f>
        <v>6.47</v>
      </c>
      <c r="I199">
        <f>data[[#This Row],[Cost Per Unit]]*data[[#This Row],[Units]]</f>
        <v>659.93999999999994</v>
      </c>
      <c r="J199" s="3">
        <f>data[[#This Row],[Amount]]-data[[#This Row],[Cost]]</f>
        <v>845.06000000000006</v>
      </c>
    </row>
    <row r="200" spans="3:10" x14ac:dyDescent="0.2">
      <c r="C200" t="s">
        <v>9</v>
      </c>
      <c r="D200" t="s">
        <v>38</v>
      </c>
      <c r="E200" t="s">
        <v>26</v>
      </c>
      <c r="F200" s="3">
        <v>2436</v>
      </c>
      <c r="G200" s="4">
        <v>99</v>
      </c>
      <c r="H200">
        <f>_xlfn.XLOOKUP(data[[#This Row],[Product]], products[Product],products[Cost per unit])</f>
        <v>5.6</v>
      </c>
      <c r="I200">
        <f>data[[#This Row],[Cost Per Unit]]*data[[#This Row],[Units]]</f>
        <v>554.4</v>
      </c>
      <c r="J200" s="3">
        <f>data[[#This Row],[Amount]]-data[[#This Row],[Cost]]</f>
        <v>1881.6</v>
      </c>
    </row>
    <row r="201" spans="3:10" x14ac:dyDescent="0.2">
      <c r="C201" t="s">
        <v>41</v>
      </c>
      <c r="D201" t="s">
        <v>35</v>
      </c>
      <c r="E201" t="s">
        <v>19</v>
      </c>
      <c r="F201" s="3">
        <v>609</v>
      </c>
      <c r="G201" s="4">
        <v>99</v>
      </c>
      <c r="H201">
        <f>_xlfn.XLOOKUP(data[[#This Row],[Product]], products[Product],products[Cost per unit])</f>
        <v>7.64</v>
      </c>
      <c r="I201">
        <f>data[[#This Row],[Cost Per Unit]]*data[[#This Row],[Units]]</f>
        <v>756.36</v>
      </c>
      <c r="J201" s="3">
        <f>data[[#This Row],[Amount]]-data[[#This Row],[Cost]]</f>
        <v>-147.36000000000001</v>
      </c>
    </row>
    <row r="202" spans="3:10" x14ac:dyDescent="0.2">
      <c r="C202" t="s">
        <v>9</v>
      </c>
      <c r="D202" t="s">
        <v>37</v>
      </c>
      <c r="E202" t="s">
        <v>20</v>
      </c>
      <c r="F202" s="3">
        <v>7273</v>
      </c>
      <c r="G202" s="4">
        <v>96</v>
      </c>
      <c r="H202">
        <f>_xlfn.XLOOKUP(data[[#This Row],[Product]], products[Product],products[Cost per unit])</f>
        <v>10.62</v>
      </c>
      <c r="I202">
        <f>data[[#This Row],[Cost Per Unit]]*data[[#This Row],[Units]]</f>
        <v>1019.52</v>
      </c>
      <c r="J202" s="3">
        <f>data[[#This Row],[Amount]]-data[[#This Row],[Cost]]</f>
        <v>6253.48</v>
      </c>
    </row>
    <row r="203" spans="3:10" x14ac:dyDescent="0.2">
      <c r="C203" t="s">
        <v>10</v>
      </c>
      <c r="D203" t="s">
        <v>35</v>
      </c>
      <c r="E203" t="s">
        <v>14</v>
      </c>
      <c r="F203" s="3">
        <v>3472</v>
      </c>
      <c r="G203" s="4">
        <v>96</v>
      </c>
      <c r="H203">
        <f>_xlfn.XLOOKUP(data[[#This Row],[Product]], products[Product],products[Cost per unit])</f>
        <v>11.7</v>
      </c>
      <c r="I203">
        <f>data[[#This Row],[Cost Per Unit]]*data[[#This Row],[Units]]</f>
        <v>1123.1999999999998</v>
      </c>
      <c r="J203" s="3">
        <f>data[[#This Row],[Amount]]-data[[#This Row],[Cost]]</f>
        <v>2348.8000000000002</v>
      </c>
    </row>
    <row r="204" spans="3:10" x14ac:dyDescent="0.2">
      <c r="C204" t="s">
        <v>7</v>
      </c>
      <c r="D204" t="s">
        <v>34</v>
      </c>
      <c r="E204" t="s">
        <v>25</v>
      </c>
      <c r="F204" s="3">
        <v>1568</v>
      </c>
      <c r="G204" s="4">
        <v>96</v>
      </c>
      <c r="H204">
        <f>_xlfn.XLOOKUP(data[[#This Row],[Product]], products[Product],products[Cost per unit])</f>
        <v>13.15</v>
      </c>
      <c r="I204">
        <f>data[[#This Row],[Cost Per Unit]]*data[[#This Row],[Units]]</f>
        <v>1262.4000000000001</v>
      </c>
      <c r="J204" s="3">
        <f>data[[#This Row],[Amount]]-data[[#This Row],[Cost]]</f>
        <v>305.59999999999991</v>
      </c>
    </row>
    <row r="205" spans="3:10" x14ac:dyDescent="0.2">
      <c r="C205" t="s">
        <v>40</v>
      </c>
      <c r="D205" t="s">
        <v>37</v>
      </c>
      <c r="E205" t="s">
        <v>27</v>
      </c>
      <c r="F205" s="3">
        <v>6132</v>
      </c>
      <c r="G205" s="4">
        <v>93</v>
      </c>
      <c r="H205">
        <f>_xlfn.XLOOKUP(data[[#This Row],[Product]], products[Product],products[Cost per unit])</f>
        <v>16.73</v>
      </c>
      <c r="I205">
        <f>data[[#This Row],[Cost Per Unit]]*data[[#This Row],[Units]]</f>
        <v>1555.89</v>
      </c>
      <c r="J205" s="3">
        <f>data[[#This Row],[Amount]]-data[[#This Row],[Cost]]</f>
        <v>4576.1099999999997</v>
      </c>
    </row>
    <row r="206" spans="3:10" x14ac:dyDescent="0.2">
      <c r="C206" t="s">
        <v>3</v>
      </c>
      <c r="D206" t="s">
        <v>34</v>
      </c>
      <c r="E206" t="s">
        <v>17</v>
      </c>
      <c r="F206" s="3">
        <v>2919</v>
      </c>
      <c r="G206" s="4">
        <v>93</v>
      </c>
      <c r="H206">
        <f>_xlfn.XLOOKUP(data[[#This Row],[Product]], products[Product],products[Cost per unit])</f>
        <v>3.11</v>
      </c>
      <c r="I206">
        <f>data[[#This Row],[Cost Per Unit]]*data[[#This Row],[Units]]</f>
        <v>289.22999999999996</v>
      </c>
      <c r="J206" s="3">
        <f>data[[#This Row],[Amount]]-data[[#This Row],[Cost]]</f>
        <v>2629.77</v>
      </c>
    </row>
    <row r="207" spans="3:10" x14ac:dyDescent="0.2">
      <c r="C207" t="s">
        <v>9</v>
      </c>
      <c r="D207" t="s">
        <v>37</v>
      </c>
      <c r="E207" t="s">
        <v>23</v>
      </c>
      <c r="F207" s="3">
        <v>2737</v>
      </c>
      <c r="G207" s="4">
        <v>93</v>
      </c>
      <c r="H207">
        <f>_xlfn.XLOOKUP(data[[#This Row],[Product]], products[Product],products[Cost per unit])</f>
        <v>6.49</v>
      </c>
      <c r="I207">
        <f>data[[#This Row],[Cost Per Unit]]*data[[#This Row],[Units]]</f>
        <v>603.57000000000005</v>
      </c>
      <c r="J207" s="3">
        <f>data[[#This Row],[Amount]]-data[[#This Row],[Cost]]</f>
        <v>2133.4299999999998</v>
      </c>
    </row>
    <row r="208" spans="3:10" x14ac:dyDescent="0.2">
      <c r="C208" t="s">
        <v>5</v>
      </c>
      <c r="D208" t="s">
        <v>34</v>
      </c>
      <c r="E208" t="s">
        <v>33</v>
      </c>
      <c r="F208" s="3">
        <v>1652</v>
      </c>
      <c r="G208" s="4">
        <v>93</v>
      </c>
      <c r="H208">
        <f>_xlfn.XLOOKUP(data[[#This Row],[Product]], products[Product],products[Cost per unit])</f>
        <v>12.37</v>
      </c>
      <c r="I208">
        <f>data[[#This Row],[Cost Per Unit]]*data[[#This Row],[Units]]</f>
        <v>1150.4099999999999</v>
      </c>
      <c r="J208" s="3">
        <f>data[[#This Row],[Amount]]-data[[#This Row],[Cost]]</f>
        <v>501.59000000000015</v>
      </c>
    </row>
    <row r="209" spans="3:10" x14ac:dyDescent="0.2">
      <c r="C209" t="s">
        <v>10</v>
      </c>
      <c r="D209" t="s">
        <v>34</v>
      </c>
      <c r="E209" t="s">
        <v>25</v>
      </c>
      <c r="F209" s="3">
        <v>1428</v>
      </c>
      <c r="G209" s="4">
        <v>93</v>
      </c>
      <c r="H209">
        <f>_xlfn.XLOOKUP(data[[#This Row],[Product]], products[Product],products[Cost per unit])</f>
        <v>13.15</v>
      </c>
      <c r="I209">
        <f>data[[#This Row],[Cost Per Unit]]*data[[#This Row],[Units]]</f>
        <v>1222.95</v>
      </c>
      <c r="J209" s="3">
        <f>data[[#This Row],[Amount]]-data[[#This Row],[Cost]]</f>
        <v>205.04999999999995</v>
      </c>
    </row>
    <row r="210" spans="3:10" x14ac:dyDescent="0.2">
      <c r="C210" t="s">
        <v>40</v>
      </c>
      <c r="D210" t="s">
        <v>36</v>
      </c>
      <c r="E210" t="s">
        <v>33</v>
      </c>
      <c r="F210" s="3">
        <v>9772</v>
      </c>
      <c r="G210" s="4">
        <v>90</v>
      </c>
      <c r="H210">
        <f>_xlfn.XLOOKUP(data[[#This Row],[Product]], products[Product],products[Cost per unit])</f>
        <v>12.37</v>
      </c>
      <c r="I210">
        <f>data[[#This Row],[Cost Per Unit]]*data[[#This Row],[Units]]</f>
        <v>1113.3</v>
      </c>
      <c r="J210" s="3">
        <f>data[[#This Row],[Amount]]-data[[#This Row],[Cost]]</f>
        <v>8658.7000000000007</v>
      </c>
    </row>
    <row r="211" spans="3:10" x14ac:dyDescent="0.2">
      <c r="C211" t="s">
        <v>9</v>
      </c>
      <c r="D211" t="s">
        <v>34</v>
      </c>
      <c r="E211" t="s">
        <v>23</v>
      </c>
      <c r="F211" s="3">
        <v>8155</v>
      </c>
      <c r="G211" s="4">
        <v>90</v>
      </c>
      <c r="H211">
        <f>_xlfn.XLOOKUP(data[[#This Row],[Product]], products[Product],products[Cost per unit])</f>
        <v>6.49</v>
      </c>
      <c r="I211">
        <f>data[[#This Row],[Cost Per Unit]]*data[[#This Row],[Units]]</f>
        <v>584.1</v>
      </c>
      <c r="J211" s="3">
        <f>data[[#This Row],[Amount]]-data[[#This Row],[Cost]]</f>
        <v>7570.9</v>
      </c>
    </row>
    <row r="212" spans="3:10" x14ac:dyDescent="0.2">
      <c r="C212" t="s">
        <v>40</v>
      </c>
      <c r="D212" t="s">
        <v>38</v>
      </c>
      <c r="E212" t="s">
        <v>25</v>
      </c>
      <c r="F212" s="3">
        <v>2541</v>
      </c>
      <c r="G212" s="4">
        <v>90</v>
      </c>
      <c r="H212">
        <f>_xlfn.XLOOKUP(data[[#This Row],[Product]], products[Product],products[Cost per unit])</f>
        <v>13.15</v>
      </c>
      <c r="I212">
        <f>data[[#This Row],[Cost Per Unit]]*data[[#This Row],[Units]]</f>
        <v>1183.5</v>
      </c>
      <c r="J212" s="3">
        <f>data[[#This Row],[Amount]]-data[[#This Row],[Cost]]</f>
        <v>1357.5</v>
      </c>
    </row>
    <row r="213" spans="3:10" x14ac:dyDescent="0.2">
      <c r="C213" t="s">
        <v>9</v>
      </c>
      <c r="D213" t="s">
        <v>38</v>
      </c>
      <c r="E213" t="s">
        <v>33</v>
      </c>
      <c r="F213" s="3">
        <v>9506</v>
      </c>
      <c r="G213" s="4">
        <v>87</v>
      </c>
      <c r="H213">
        <f>_xlfn.XLOOKUP(data[[#This Row],[Product]], products[Product],products[Cost per unit])</f>
        <v>12.37</v>
      </c>
      <c r="I213">
        <f>data[[#This Row],[Cost Per Unit]]*data[[#This Row],[Units]]</f>
        <v>1076.1899999999998</v>
      </c>
      <c r="J213" s="3">
        <f>data[[#This Row],[Amount]]-data[[#This Row],[Cost]]</f>
        <v>8429.81</v>
      </c>
    </row>
    <row r="214" spans="3:10" x14ac:dyDescent="0.2">
      <c r="C214" t="s">
        <v>6</v>
      </c>
      <c r="D214" t="s">
        <v>37</v>
      </c>
      <c r="E214" t="s">
        <v>31</v>
      </c>
      <c r="F214" s="3">
        <v>7693</v>
      </c>
      <c r="G214" s="4">
        <v>87</v>
      </c>
      <c r="H214">
        <f>_xlfn.XLOOKUP(data[[#This Row],[Product]], products[Product],products[Cost per unit])</f>
        <v>5.79</v>
      </c>
      <c r="I214">
        <f>data[[#This Row],[Cost Per Unit]]*data[[#This Row],[Units]]</f>
        <v>503.73</v>
      </c>
      <c r="J214" s="3">
        <f>data[[#This Row],[Amount]]-data[[#This Row],[Cost]]</f>
        <v>7189.27</v>
      </c>
    </row>
    <row r="215" spans="3:10" x14ac:dyDescent="0.2">
      <c r="C215" t="s">
        <v>10</v>
      </c>
      <c r="D215" t="s">
        <v>34</v>
      </c>
      <c r="E215" t="s">
        <v>17</v>
      </c>
      <c r="F215" s="3">
        <v>700</v>
      </c>
      <c r="G215" s="4">
        <v>87</v>
      </c>
      <c r="H215">
        <f>_xlfn.XLOOKUP(data[[#This Row],[Product]], products[Product],products[Cost per unit])</f>
        <v>3.11</v>
      </c>
      <c r="I215">
        <f>data[[#This Row],[Cost Per Unit]]*data[[#This Row],[Units]]</f>
        <v>270.57</v>
      </c>
      <c r="J215" s="3">
        <f>data[[#This Row],[Amount]]-data[[#This Row],[Cost]]</f>
        <v>429.43</v>
      </c>
    </row>
    <row r="216" spans="3:10" x14ac:dyDescent="0.2">
      <c r="C216" t="s">
        <v>40</v>
      </c>
      <c r="D216" t="s">
        <v>38</v>
      </c>
      <c r="E216" t="s">
        <v>26</v>
      </c>
      <c r="F216" s="3">
        <v>609</v>
      </c>
      <c r="G216" s="4">
        <v>87</v>
      </c>
      <c r="H216">
        <f>_xlfn.XLOOKUP(data[[#This Row],[Product]], products[Product],products[Cost per unit])</f>
        <v>5.6</v>
      </c>
      <c r="I216">
        <f>data[[#This Row],[Cost Per Unit]]*data[[#This Row],[Units]]</f>
        <v>487.2</v>
      </c>
      <c r="J216" s="3">
        <f>data[[#This Row],[Amount]]-data[[#This Row],[Cost]]</f>
        <v>121.80000000000001</v>
      </c>
    </row>
    <row r="217" spans="3:10" x14ac:dyDescent="0.2">
      <c r="C217" t="s">
        <v>8</v>
      </c>
      <c r="D217" t="s">
        <v>37</v>
      </c>
      <c r="E217" t="s">
        <v>21</v>
      </c>
      <c r="F217" s="3">
        <v>434</v>
      </c>
      <c r="G217" s="4">
        <v>87</v>
      </c>
      <c r="H217">
        <f>_xlfn.XLOOKUP(data[[#This Row],[Product]], products[Product],products[Cost per unit])</f>
        <v>9</v>
      </c>
      <c r="I217">
        <f>data[[#This Row],[Cost Per Unit]]*data[[#This Row],[Units]]</f>
        <v>783</v>
      </c>
      <c r="J217" s="3">
        <f>data[[#This Row],[Amount]]-data[[#This Row],[Cost]]</f>
        <v>-349</v>
      </c>
    </row>
    <row r="218" spans="3:10" x14ac:dyDescent="0.2">
      <c r="C218" t="s">
        <v>7</v>
      </c>
      <c r="D218" t="s">
        <v>36</v>
      </c>
      <c r="E218" t="s">
        <v>32</v>
      </c>
      <c r="F218" s="3">
        <v>280</v>
      </c>
      <c r="G218" s="4">
        <v>87</v>
      </c>
      <c r="H218">
        <f>_xlfn.XLOOKUP(data[[#This Row],[Product]], products[Product],products[Cost per unit])</f>
        <v>8.65</v>
      </c>
      <c r="I218">
        <f>data[[#This Row],[Cost Per Unit]]*data[[#This Row],[Units]]</f>
        <v>752.55000000000007</v>
      </c>
      <c r="J218" s="3">
        <f>data[[#This Row],[Amount]]-data[[#This Row],[Cost]]</f>
        <v>-472.55000000000007</v>
      </c>
    </row>
    <row r="219" spans="3:10" x14ac:dyDescent="0.2">
      <c r="C219" t="s">
        <v>41</v>
      </c>
      <c r="D219" t="s">
        <v>36</v>
      </c>
      <c r="E219" t="s">
        <v>32</v>
      </c>
      <c r="F219" s="3">
        <v>10304</v>
      </c>
      <c r="G219" s="4">
        <v>84</v>
      </c>
      <c r="H219">
        <f>_xlfn.XLOOKUP(data[[#This Row],[Product]], products[Product],products[Cost per unit])</f>
        <v>8.65</v>
      </c>
      <c r="I219">
        <f>data[[#This Row],[Cost Per Unit]]*data[[#This Row],[Units]]</f>
        <v>726.6</v>
      </c>
      <c r="J219" s="3">
        <f>data[[#This Row],[Amount]]-data[[#This Row],[Cost]]</f>
        <v>9577.4</v>
      </c>
    </row>
    <row r="220" spans="3:10" x14ac:dyDescent="0.2">
      <c r="C220" t="s">
        <v>5</v>
      </c>
      <c r="D220" t="s">
        <v>35</v>
      </c>
      <c r="E220" t="s">
        <v>22</v>
      </c>
      <c r="F220" s="3">
        <v>490</v>
      </c>
      <c r="G220" s="4">
        <v>84</v>
      </c>
      <c r="H220">
        <f>_xlfn.XLOOKUP(data[[#This Row],[Product]], products[Product],products[Cost per unit])</f>
        <v>9.77</v>
      </c>
      <c r="I220">
        <f>data[[#This Row],[Cost Per Unit]]*data[[#This Row],[Units]]</f>
        <v>820.68</v>
      </c>
      <c r="J220" s="3">
        <f>data[[#This Row],[Amount]]-data[[#This Row],[Cost]]</f>
        <v>-330.67999999999995</v>
      </c>
    </row>
    <row r="221" spans="3:10" x14ac:dyDescent="0.2">
      <c r="C221" t="s">
        <v>8</v>
      </c>
      <c r="D221" t="s">
        <v>38</v>
      </c>
      <c r="E221" t="s">
        <v>22</v>
      </c>
      <c r="F221" s="3">
        <v>168</v>
      </c>
      <c r="G221" s="4">
        <v>84</v>
      </c>
      <c r="H221">
        <f>_xlfn.XLOOKUP(data[[#This Row],[Product]], products[Product],products[Cost per unit])</f>
        <v>9.77</v>
      </c>
      <c r="I221">
        <f>data[[#This Row],[Cost Per Unit]]*data[[#This Row],[Units]]</f>
        <v>820.68</v>
      </c>
      <c r="J221" s="3">
        <f>data[[#This Row],[Amount]]-data[[#This Row],[Cost]]</f>
        <v>-652.67999999999995</v>
      </c>
    </row>
    <row r="222" spans="3:10" x14ac:dyDescent="0.2">
      <c r="C222" t="s">
        <v>2</v>
      </c>
      <c r="D222" t="s">
        <v>39</v>
      </c>
      <c r="E222" t="s">
        <v>27</v>
      </c>
      <c r="F222" s="3">
        <v>7812</v>
      </c>
      <c r="G222" s="4">
        <v>81</v>
      </c>
      <c r="H222">
        <f>_xlfn.XLOOKUP(data[[#This Row],[Product]], products[Product],products[Cost per unit])</f>
        <v>16.73</v>
      </c>
      <c r="I222">
        <f>data[[#This Row],[Cost Per Unit]]*data[[#This Row],[Units]]</f>
        <v>1355.13</v>
      </c>
      <c r="J222" s="3">
        <f>data[[#This Row],[Amount]]-data[[#This Row],[Cost]]</f>
        <v>6456.87</v>
      </c>
    </row>
    <row r="223" spans="3:10" x14ac:dyDescent="0.2">
      <c r="C223" t="s">
        <v>5</v>
      </c>
      <c r="D223" t="s">
        <v>39</v>
      </c>
      <c r="E223" t="s">
        <v>22</v>
      </c>
      <c r="F223" s="3">
        <v>6909</v>
      </c>
      <c r="G223" s="4">
        <v>81</v>
      </c>
      <c r="H223">
        <f>_xlfn.XLOOKUP(data[[#This Row],[Product]], products[Product],products[Cost per unit])</f>
        <v>9.77</v>
      </c>
      <c r="I223">
        <f>data[[#This Row],[Cost Per Unit]]*data[[#This Row],[Units]]</f>
        <v>791.37</v>
      </c>
      <c r="J223" s="3">
        <f>data[[#This Row],[Amount]]-data[[#This Row],[Cost]]</f>
        <v>6117.63</v>
      </c>
    </row>
    <row r="224" spans="3:10" x14ac:dyDescent="0.2">
      <c r="C224" t="s">
        <v>8</v>
      </c>
      <c r="D224" t="s">
        <v>35</v>
      </c>
      <c r="E224" t="s">
        <v>30</v>
      </c>
      <c r="F224" s="3">
        <v>3598</v>
      </c>
      <c r="G224" s="4">
        <v>81</v>
      </c>
      <c r="H224">
        <f>_xlfn.XLOOKUP(data[[#This Row],[Product]], products[Product],products[Cost per unit])</f>
        <v>14.49</v>
      </c>
      <c r="I224">
        <f>data[[#This Row],[Cost Per Unit]]*data[[#This Row],[Units]]</f>
        <v>1173.69</v>
      </c>
      <c r="J224" s="3">
        <f>data[[#This Row],[Amount]]-data[[#This Row],[Cost]]</f>
        <v>2424.31</v>
      </c>
    </row>
    <row r="225" spans="3:10" x14ac:dyDescent="0.2">
      <c r="C225" t="s">
        <v>6</v>
      </c>
      <c r="D225" t="s">
        <v>37</v>
      </c>
      <c r="E225" t="s">
        <v>30</v>
      </c>
      <c r="F225" s="3">
        <v>560</v>
      </c>
      <c r="G225" s="4">
        <v>81</v>
      </c>
      <c r="H225">
        <f>_xlfn.XLOOKUP(data[[#This Row],[Product]], products[Product],products[Cost per unit])</f>
        <v>14.49</v>
      </c>
      <c r="I225">
        <f>data[[#This Row],[Cost Per Unit]]*data[[#This Row],[Units]]</f>
        <v>1173.69</v>
      </c>
      <c r="J225" s="3">
        <f>data[[#This Row],[Amount]]-data[[#This Row],[Cost]]</f>
        <v>-613.69000000000005</v>
      </c>
    </row>
    <row r="226" spans="3:10" x14ac:dyDescent="0.2">
      <c r="C226" t="s">
        <v>8</v>
      </c>
      <c r="D226" t="s">
        <v>38</v>
      </c>
      <c r="E226" t="s">
        <v>21</v>
      </c>
      <c r="F226" s="3">
        <v>6433</v>
      </c>
      <c r="G226" s="4">
        <v>78</v>
      </c>
      <c r="H226">
        <f>_xlfn.XLOOKUP(data[[#This Row],[Product]], products[Product],products[Cost per unit])</f>
        <v>9</v>
      </c>
      <c r="I226">
        <f>data[[#This Row],[Cost Per Unit]]*data[[#This Row],[Units]]</f>
        <v>702</v>
      </c>
      <c r="J226" s="3">
        <f>data[[#This Row],[Amount]]-data[[#This Row],[Cost]]</f>
        <v>5731</v>
      </c>
    </row>
    <row r="227" spans="3:10" x14ac:dyDescent="0.2">
      <c r="C227" t="s">
        <v>3</v>
      </c>
      <c r="D227" t="s">
        <v>35</v>
      </c>
      <c r="E227" t="s">
        <v>23</v>
      </c>
      <c r="F227" s="3">
        <v>2023</v>
      </c>
      <c r="G227" s="4">
        <v>78</v>
      </c>
      <c r="H227">
        <f>_xlfn.XLOOKUP(data[[#This Row],[Product]], products[Product],products[Cost per unit])</f>
        <v>6.49</v>
      </c>
      <c r="I227">
        <f>data[[#This Row],[Cost Per Unit]]*data[[#This Row],[Units]]</f>
        <v>506.22</v>
      </c>
      <c r="J227" s="3">
        <f>data[[#This Row],[Amount]]-data[[#This Row],[Cost]]</f>
        <v>1516.78</v>
      </c>
    </row>
    <row r="228" spans="3:10" x14ac:dyDescent="0.2">
      <c r="C228" t="s">
        <v>2</v>
      </c>
      <c r="D228" t="s">
        <v>36</v>
      </c>
      <c r="E228" t="s">
        <v>29</v>
      </c>
      <c r="F228" s="3">
        <v>8211</v>
      </c>
      <c r="G228" s="4">
        <v>75</v>
      </c>
      <c r="H228">
        <f>_xlfn.XLOOKUP(data[[#This Row],[Product]], products[Product],products[Cost per unit])</f>
        <v>7.16</v>
      </c>
      <c r="I228">
        <f>data[[#This Row],[Cost Per Unit]]*data[[#This Row],[Units]]</f>
        <v>537</v>
      </c>
      <c r="J228" s="3">
        <f>data[[#This Row],[Amount]]-data[[#This Row],[Cost]]</f>
        <v>7674</v>
      </c>
    </row>
    <row r="229" spans="3:10" x14ac:dyDescent="0.2">
      <c r="C229" t="s">
        <v>6</v>
      </c>
      <c r="D229" t="s">
        <v>34</v>
      </c>
      <c r="E229" t="s">
        <v>29</v>
      </c>
      <c r="F229" s="3">
        <v>3339</v>
      </c>
      <c r="G229" s="4">
        <v>75</v>
      </c>
      <c r="H229">
        <f>_xlfn.XLOOKUP(data[[#This Row],[Product]], products[Product],products[Cost per unit])</f>
        <v>7.16</v>
      </c>
      <c r="I229">
        <f>data[[#This Row],[Cost Per Unit]]*data[[#This Row],[Units]]</f>
        <v>537</v>
      </c>
      <c r="J229" s="3">
        <f>data[[#This Row],[Amount]]-data[[#This Row],[Cost]]</f>
        <v>2802</v>
      </c>
    </row>
    <row r="230" spans="3:10" x14ac:dyDescent="0.2">
      <c r="C230" t="s">
        <v>7</v>
      </c>
      <c r="D230" t="s">
        <v>34</v>
      </c>
      <c r="E230" t="s">
        <v>32</v>
      </c>
      <c r="F230" s="3">
        <v>3262</v>
      </c>
      <c r="G230" s="4">
        <v>75</v>
      </c>
      <c r="H230">
        <f>_xlfn.XLOOKUP(data[[#This Row],[Product]], products[Product],products[Cost per unit])</f>
        <v>8.65</v>
      </c>
      <c r="I230">
        <f>data[[#This Row],[Cost Per Unit]]*data[[#This Row],[Units]]</f>
        <v>648.75</v>
      </c>
      <c r="J230" s="3">
        <f>data[[#This Row],[Amount]]-data[[#This Row],[Cost]]</f>
        <v>2613.25</v>
      </c>
    </row>
    <row r="231" spans="3:10" x14ac:dyDescent="0.2">
      <c r="C231" t="s">
        <v>40</v>
      </c>
      <c r="D231" t="s">
        <v>34</v>
      </c>
      <c r="E231" t="s">
        <v>23</v>
      </c>
      <c r="F231" s="3">
        <v>2779</v>
      </c>
      <c r="G231" s="4">
        <v>75</v>
      </c>
      <c r="H231">
        <f>_xlfn.XLOOKUP(data[[#This Row],[Product]], products[Product],products[Cost per unit])</f>
        <v>6.49</v>
      </c>
      <c r="I231">
        <f>data[[#This Row],[Cost Per Unit]]*data[[#This Row],[Units]]</f>
        <v>486.75</v>
      </c>
      <c r="J231" s="3">
        <f>data[[#This Row],[Amount]]-data[[#This Row],[Cost]]</f>
        <v>2292.25</v>
      </c>
    </row>
    <row r="232" spans="3:10" x14ac:dyDescent="0.2">
      <c r="C232" t="s">
        <v>6</v>
      </c>
      <c r="D232" t="s">
        <v>34</v>
      </c>
      <c r="E232" t="s">
        <v>16</v>
      </c>
      <c r="F232" s="3">
        <v>2219</v>
      </c>
      <c r="G232" s="4">
        <v>75</v>
      </c>
      <c r="H232">
        <f>_xlfn.XLOOKUP(data[[#This Row],[Product]], products[Product],products[Cost per unit])</f>
        <v>8.7899999999999991</v>
      </c>
      <c r="I232">
        <f>data[[#This Row],[Cost Per Unit]]*data[[#This Row],[Units]]</f>
        <v>659.24999999999989</v>
      </c>
      <c r="J232" s="3">
        <f>data[[#This Row],[Amount]]-data[[#This Row],[Cost]]</f>
        <v>1559.75</v>
      </c>
    </row>
    <row r="233" spans="3:10" x14ac:dyDescent="0.2">
      <c r="C233" t="s">
        <v>7</v>
      </c>
      <c r="D233" t="s">
        <v>38</v>
      </c>
      <c r="E233" t="s">
        <v>14</v>
      </c>
      <c r="F233" s="3">
        <v>1281</v>
      </c>
      <c r="G233" s="4">
        <v>75</v>
      </c>
      <c r="H233">
        <f>_xlfn.XLOOKUP(data[[#This Row],[Product]], products[Product],products[Cost per unit])</f>
        <v>11.7</v>
      </c>
      <c r="I233">
        <f>data[[#This Row],[Cost Per Unit]]*data[[#This Row],[Units]]</f>
        <v>877.5</v>
      </c>
      <c r="J233" s="3">
        <f>data[[#This Row],[Amount]]-data[[#This Row],[Cost]]</f>
        <v>403.5</v>
      </c>
    </row>
    <row r="234" spans="3:10" x14ac:dyDescent="0.2">
      <c r="C234" t="s">
        <v>10</v>
      </c>
      <c r="D234" t="s">
        <v>36</v>
      </c>
      <c r="E234" t="s">
        <v>13</v>
      </c>
      <c r="F234" s="3">
        <v>945</v>
      </c>
      <c r="G234" s="4">
        <v>75</v>
      </c>
      <c r="H234">
        <f>_xlfn.XLOOKUP(data[[#This Row],[Product]], products[Product],products[Cost per unit])</f>
        <v>9.33</v>
      </c>
      <c r="I234">
        <f>data[[#This Row],[Cost Per Unit]]*data[[#This Row],[Units]]</f>
        <v>699.75</v>
      </c>
      <c r="J234" s="3">
        <f>data[[#This Row],[Amount]]-data[[#This Row],[Cost]]</f>
        <v>245.25</v>
      </c>
    </row>
    <row r="235" spans="3:10" x14ac:dyDescent="0.2">
      <c r="C235" t="s">
        <v>5</v>
      </c>
      <c r="D235" t="s">
        <v>37</v>
      </c>
      <c r="E235" t="s">
        <v>22</v>
      </c>
      <c r="F235" s="3">
        <v>518</v>
      </c>
      <c r="G235" s="4">
        <v>75</v>
      </c>
      <c r="H235">
        <f>_xlfn.XLOOKUP(data[[#This Row],[Product]], products[Product],products[Cost per unit])</f>
        <v>9.77</v>
      </c>
      <c r="I235">
        <f>data[[#This Row],[Cost Per Unit]]*data[[#This Row],[Units]]</f>
        <v>732.75</v>
      </c>
      <c r="J235" s="3">
        <f>data[[#This Row],[Amount]]-data[[#This Row],[Cost]]</f>
        <v>-214.75</v>
      </c>
    </row>
    <row r="236" spans="3:10" x14ac:dyDescent="0.2">
      <c r="C236" t="s">
        <v>6</v>
      </c>
      <c r="D236" t="s">
        <v>38</v>
      </c>
      <c r="E236" t="s">
        <v>25</v>
      </c>
      <c r="F236" s="3">
        <v>469</v>
      </c>
      <c r="G236" s="4">
        <v>75</v>
      </c>
      <c r="H236">
        <f>_xlfn.XLOOKUP(data[[#This Row],[Product]], products[Product],products[Cost per unit])</f>
        <v>13.15</v>
      </c>
      <c r="I236">
        <f>data[[#This Row],[Cost Per Unit]]*data[[#This Row],[Units]]</f>
        <v>986.25</v>
      </c>
      <c r="J236" s="3">
        <f>data[[#This Row],[Amount]]-data[[#This Row],[Cost]]</f>
        <v>-517.25</v>
      </c>
    </row>
    <row r="237" spans="3:10" x14ac:dyDescent="0.2">
      <c r="C237" t="s">
        <v>40</v>
      </c>
      <c r="D237" t="s">
        <v>37</v>
      </c>
      <c r="E237" t="s">
        <v>29</v>
      </c>
      <c r="F237" s="3">
        <v>9002</v>
      </c>
      <c r="G237" s="4">
        <v>72</v>
      </c>
      <c r="H237">
        <f>_xlfn.XLOOKUP(data[[#This Row],[Product]], products[Product],products[Cost per unit])</f>
        <v>7.16</v>
      </c>
      <c r="I237">
        <f>data[[#This Row],[Cost Per Unit]]*data[[#This Row],[Units]]</f>
        <v>515.52</v>
      </c>
      <c r="J237" s="3">
        <f>data[[#This Row],[Amount]]-data[[#This Row],[Cost]]</f>
        <v>8486.48</v>
      </c>
    </row>
    <row r="238" spans="3:10" x14ac:dyDescent="0.2">
      <c r="C238" t="s">
        <v>41</v>
      </c>
      <c r="D238" t="s">
        <v>39</v>
      </c>
      <c r="E238" t="s">
        <v>14</v>
      </c>
      <c r="F238" s="3">
        <v>3976</v>
      </c>
      <c r="G238" s="4">
        <v>72</v>
      </c>
      <c r="H238">
        <f>_xlfn.XLOOKUP(data[[#This Row],[Product]], products[Product],products[Cost per unit])</f>
        <v>11.7</v>
      </c>
      <c r="I238">
        <f>data[[#This Row],[Cost Per Unit]]*data[[#This Row],[Units]]</f>
        <v>842.4</v>
      </c>
      <c r="J238" s="3">
        <f>data[[#This Row],[Amount]]-data[[#This Row],[Cost]]</f>
        <v>3133.6</v>
      </c>
    </row>
    <row r="239" spans="3:10" x14ac:dyDescent="0.2">
      <c r="C239" t="s">
        <v>9</v>
      </c>
      <c r="D239" t="s">
        <v>39</v>
      </c>
      <c r="E239" t="s">
        <v>25</v>
      </c>
      <c r="F239" s="3">
        <v>3192</v>
      </c>
      <c r="G239" s="4">
        <v>72</v>
      </c>
      <c r="H239">
        <f>_xlfn.XLOOKUP(data[[#This Row],[Product]], products[Product],products[Cost per unit])</f>
        <v>13.15</v>
      </c>
      <c r="I239">
        <f>data[[#This Row],[Cost Per Unit]]*data[[#This Row],[Units]]</f>
        <v>946.80000000000007</v>
      </c>
      <c r="J239" s="3">
        <f>data[[#This Row],[Amount]]-data[[#This Row],[Cost]]</f>
        <v>2245.1999999999998</v>
      </c>
    </row>
    <row r="240" spans="3:10" x14ac:dyDescent="0.2">
      <c r="C240" t="s">
        <v>10</v>
      </c>
      <c r="D240" t="s">
        <v>36</v>
      </c>
      <c r="E240" t="s">
        <v>27</v>
      </c>
      <c r="F240" s="3">
        <v>1407</v>
      </c>
      <c r="G240" s="4">
        <v>72</v>
      </c>
      <c r="H240">
        <f>_xlfn.XLOOKUP(data[[#This Row],[Product]], products[Product],products[Cost per unit])</f>
        <v>16.73</v>
      </c>
      <c r="I240">
        <f>data[[#This Row],[Cost Per Unit]]*data[[#This Row],[Units]]</f>
        <v>1204.56</v>
      </c>
      <c r="J240" s="3">
        <f>data[[#This Row],[Amount]]-data[[#This Row],[Cost]]</f>
        <v>202.44000000000005</v>
      </c>
    </row>
    <row r="241" spans="3:10" x14ac:dyDescent="0.2">
      <c r="C241" t="s">
        <v>41</v>
      </c>
      <c r="D241" t="s">
        <v>35</v>
      </c>
      <c r="E241" t="s">
        <v>13</v>
      </c>
      <c r="F241" s="3">
        <v>4760</v>
      </c>
      <c r="G241" s="4">
        <v>69</v>
      </c>
      <c r="H241">
        <f>_xlfn.XLOOKUP(data[[#This Row],[Product]], products[Product],products[Cost per unit])</f>
        <v>9.33</v>
      </c>
      <c r="I241">
        <f>data[[#This Row],[Cost Per Unit]]*data[[#This Row],[Units]]</f>
        <v>643.77</v>
      </c>
      <c r="J241" s="3">
        <f>data[[#This Row],[Amount]]-data[[#This Row],[Cost]]</f>
        <v>4116.2299999999996</v>
      </c>
    </row>
    <row r="242" spans="3:10" x14ac:dyDescent="0.2">
      <c r="C242" t="s">
        <v>3</v>
      </c>
      <c r="D242" t="s">
        <v>35</v>
      </c>
      <c r="E242" t="s">
        <v>29</v>
      </c>
      <c r="F242" s="3">
        <v>2114</v>
      </c>
      <c r="G242" s="4">
        <v>66</v>
      </c>
      <c r="H242">
        <f>_xlfn.XLOOKUP(data[[#This Row],[Product]], products[Product],products[Cost per unit])</f>
        <v>7.16</v>
      </c>
      <c r="I242">
        <f>data[[#This Row],[Cost Per Unit]]*data[[#This Row],[Units]]</f>
        <v>472.56</v>
      </c>
      <c r="J242" s="3">
        <f>data[[#This Row],[Amount]]-data[[#This Row],[Cost]]</f>
        <v>1641.44</v>
      </c>
    </row>
    <row r="243" spans="3:10" x14ac:dyDescent="0.2">
      <c r="C243" t="s">
        <v>5</v>
      </c>
      <c r="D243" t="s">
        <v>36</v>
      </c>
      <c r="E243" t="s">
        <v>13</v>
      </c>
      <c r="F243" s="3">
        <v>6146</v>
      </c>
      <c r="G243" s="4">
        <v>63</v>
      </c>
      <c r="H243">
        <f>_xlfn.XLOOKUP(data[[#This Row],[Product]], products[Product],products[Cost per unit])</f>
        <v>9.33</v>
      </c>
      <c r="I243">
        <f>data[[#This Row],[Cost Per Unit]]*data[[#This Row],[Units]]</f>
        <v>587.79</v>
      </c>
      <c r="J243" s="3">
        <f>data[[#This Row],[Amount]]-data[[#This Row],[Cost]]</f>
        <v>5558.21</v>
      </c>
    </row>
    <row r="244" spans="3:10" x14ac:dyDescent="0.2">
      <c r="C244" t="s">
        <v>7</v>
      </c>
      <c r="D244" t="s">
        <v>35</v>
      </c>
      <c r="E244" t="s">
        <v>14</v>
      </c>
      <c r="F244" s="3">
        <v>4606</v>
      </c>
      <c r="G244" s="4">
        <v>63</v>
      </c>
      <c r="H244">
        <f>_xlfn.XLOOKUP(data[[#This Row],[Product]], products[Product],products[Cost per unit])</f>
        <v>11.7</v>
      </c>
      <c r="I244">
        <f>data[[#This Row],[Cost Per Unit]]*data[[#This Row],[Units]]</f>
        <v>737.09999999999991</v>
      </c>
      <c r="J244" s="3">
        <f>data[[#This Row],[Amount]]-data[[#This Row],[Cost]]</f>
        <v>3868.9</v>
      </c>
    </row>
    <row r="245" spans="3:10" x14ac:dyDescent="0.2">
      <c r="C245" t="s">
        <v>8</v>
      </c>
      <c r="D245" t="s">
        <v>38</v>
      </c>
      <c r="E245" t="s">
        <v>27</v>
      </c>
      <c r="F245" s="3">
        <v>2268</v>
      </c>
      <c r="G245" s="4">
        <v>63</v>
      </c>
      <c r="H245">
        <f>_xlfn.XLOOKUP(data[[#This Row],[Product]], products[Product],products[Cost per unit])</f>
        <v>16.73</v>
      </c>
      <c r="I245">
        <f>data[[#This Row],[Cost Per Unit]]*data[[#This Row],[Units]]</f>
        <v>1053.99</v>
      </c>
      <c r="J245" s="3">
        <f>data[[#This Row],[Amount]]-data[[#This Row],[Cost]]</f>
        <v>1214.01</v>
      </c>
    </row>
    <row r="246" spans="3:10" x14ac:dyDescent="0.2">
      <c r="C246" t="s">
        <v>6</v>
      </c>
      <c r="D246" t="s">
        <v>39</v>
      </c>
      <c r="E246" t="s">
        <v>30</v>
      </c>
      <c r="F246" s="3">
        <v>1638</v>
      </c>
      <c r="G246" s="4">
        <v>63</v>
      </c>
      <c r="H246">
        <f>_xlfn.XLOOKUP(data[[#This Row],[Product]], products[Product],products[Cost per unit])</f>
        <v>14.49</v>
      </c>
      <c r="I246">
        <f>data[[#This Row],[Cost Per Unit]]*data[[#This Row],[Units]]</f>
        <v>912.87</v>
      </c>
      <c r="J246" s="3">
        <f>data[[#This Row],[Amount]]-data[[#This Row],[Cost]]</f>
        <v>725.13</v>
      </c>
    </row>
    <row r="247" spans="3:10" x14ac:dyDescent="0.2">
      <c r="C247" t="s">
        <v>6</v>
      </c>
      <c r="D247" t="s">
        <v>36</v>
      </c>
      <c r="E247" t="s">
        <v>21</v>
      </c>
      <c r="F247" s="3">
        <v>497</v>
      </c>
      <c r="G247" s="4">
        <v>63</v>
      </c>
      <c r="H247">
        <f>_xlfn.XLOOKUP(data[[#This Row],[Product]], products[Product],products[Cost per unit])</f>
        <v>9</v>
      </c>
      <c r="I247">
        <f>data[[#This Row],[Cost Per Unit]]*data[[#This Row],[Units]]</f>
        <v>567</v>
      </c>
      <c r="J247" s="3">
        <f>data[[#This Row],[Amount]]-data[[#This Row],[Cost]]</f>
        <v>-70</v>
      </c>
    </row>
    <row r="248" spans="3:10" x14ac:dyDescent="0.2">
      <c r="C248" t="s">
        <v>9</v>
      </c>
      <c r="D248" t="s">
        <v>38</v>
      </c>
      <c r="E248" t="s">
        <v>24</v>
      </c>
      <c r="F248" s="3">
        <v>4137</v>
      </c>
      <c r="G248" s="4">
        <v>60</v>
      </c>
      <c r="H248">
        <f>_xlfn.XLOOKUP(data[[#This Row],[Product]], products[Product],products[Cost per unit])</f>
        <v>4.97</v>
      </c>
      <c r="I248">
        <f>data[[#This Row],[Cost Per Unit]]*data[[#This Row],[Units]]</f>
        <v>298.2</v>
      </c>
      <c r="J248" s="3">
        <f>data[[#This Row],[Amount]]-data[[#This Row],[Cost]]</f>
        <v>3838.8</v>
      </c>
    </row>
    <row r="249" spans="3:10" x14ac:dyDescent="0.2">
      <c r="C249" t="s">
        <v>9</v>
      </c>
      <c r="D249" t="s">
        <v>36</v>
      </c>
      <c r="E249" t="s">
        <v>30</v>
      </c>
      <c r="F249" s="3">
        <v>9051</v>
      </c>
      <c r="G249" s="4">
        <v>57</v>
      </c>
      <c r="H249">
        <f>_xlfn.XLOOKUP(data[[#This Row],[Product]], products[Product],products[Cost per unit])</f>
        <v>14.49</v>
      </c>
      <c r="I249">
        <f>data[[#This Row],[Cost Per Unit]]*data[[#This Row],[Units]]</f>
        <v>825.93000000000006</v>
      </c>
      <c r="J249" s="3">
        <f>data[[#This Row],[Amount]]-data[[#This Row],[Cost]]</f>
        <v>8225.07</v>
      </c>
    </row>
    <row r="250" spans="3:10" x14ac:dyDescent="0.2">
      <c r="C250" t="s">
        <v>5</v>
      </c>
      <c r="D250" t="s">
        <v>38</v>
      </c>
      <c r="E250" t="s">
        <v>13</v>
      </c>
      <c r="F250" s="3">
        <v>7189</v>
      </c>
      <c r="G250" s="4">
        <v>54</v>
      </c>
      <c r="H250">
        <f>_xlfn.XLOOKUP(data[[#This Row],[Product]], products[Product],products[Cost per unit])</f>
        <v>9.33</v>
      </c>
      <c r="I250">
        <f>data[[#This Row],[Cost Per Unit]]*data[[#This Row],[Units]]</f>
        <v>503.82</v>
      </c>
      <c r="J250" s="3">
        <f>data[[#This Row],[Amount]]-data[[#This Row],[Cost]]</f>
        <v>6685.18</v>
      </c>
    </row>
    <row r="251" spans="3:10" x14ac:dyDescent="0.2">
      <c r="C251" t="s">
        <v>7</v>
      </c>
      <c r="D251" t="s">
        <v>37</v>
      </c>
      <c r="E251" t="s">
        <v>30</v>
      </c>
      <c r="F251" s="3">
        <v>6454</v>
      </c>
      <c r="G251" s="4">
        <v>54</v>
      </c>
      <c r="H251">
        <f>_xlfn.XLOOKUP(data[[#This Row],[Product]], products[Product],products[Cost per unit])</f>
        <v>14.49</v>
      </c>
      <c r="I251">
        <f>data[[#This Row],[Cost Per Unit]]*data[[#This Row],[Units]]</f>
        <v>782.46</v>
      </c>
      <c r="J251" s="3">
        <f>data[[#This Row],[Amount]]-data[[#This Row],[Cost]]</f>
        <v>5671.54</v>
      </c>
    </row>
    <row r="252" spans="3:10" x14ac:dyDescent="0.2">
      <c r="C252" t="s">
        <v>3</v>
      </c>
      <c r="D252" t="s">
        <v>34</v>
      </c>
      <c r="E252" t="s">
        <v>26</v>
      </c>
      <c r="F252" s="3">
        <v>3108</v>
      </c>
      <c r="G252" s="4">
        <v>54</v>
      </c>
      <c r="H252">
        <f>_xlfn.XLOOKUP(data[[#This Row],[Product]], products[Product],products[Cost per unit])</f>
        <v>5.6</v>
      </c>
      <c r="I252">
        <f>data[[#This Row],[Cost Per Unit]]*data[[#This Row],[Units]]</f>
        <v>302.39999999999998</v>
      </c>
      <c r="J252" s="3">
        <f>data[[#This Row],[Amount]]-data[[#This Row],[Cost]]</f>
        <v>2805.6</v>
      </c>
    </row>
    <row r="253" spans="3:10" x14ac:dyDescent="0.2">
      <c r="C253" t="s">
        <v>6</v>
      </c>
      <c r="D253" t="s">
        <v>38</v>
      </c>
      <c r="E253" t="s">
        <v>31</v>
      </c>
      <c r="F253" s="3">
        <v>2681</v>
      </c>
      <c r="G253" s="4">
        <v>54</v>
      </c>
      <c r="H253">
        <f>_xlfn.XLOOKUP(data[[#This Row],[Product]], products[Product],products[Cost per unit])</f>
        <v>5.79</v>
      </c>
      <c r="I253">
        <f>data[[#This Row],[Cost Per Unit]]*data[[#This Row],[Units]]</f>
        <v>312.66000000000003</v>
      </c>
      <c r="J253" s="3">
        <f>data[[#This Row],[Amount]]-data[[#This Row],[Cost]]</f>
        <v>2368.34</v>
      </c>
    </row>
    <row r="254" spans="3:10" x14ac:dyDescent="0.2">
      <c r="C254" t="s">
        <v>2</v>
      </c>
      <c r="D254" t="s">
        <v>37</v>
      </c>
      <c r="E254" t="s">
        <v>14</v>
      </c>
      <c r="F254" s="3">
        <v>1057</v>
      </c>
      <c r="G254" s="4">
        <v>54</v>
      </c>
      <c r="H254">
        <f>_xlfn.XLOOKUP(data[[#This Row],[Product]], products[Product],products[Cost per unit])</f>
        <v>11.7</v>
      </c>
      <c r="I254">
        <f>data[[#This Row],[Cost Per Unit]]*data[[#This Row],[Units]]</f>
        <v>631.79999999999995</v>
      </c>
      <c r="J254" s="3">
        <f>data[[#This Row],[Amount]]-data[[#This Row],[Cost]]</f>
        <v>425.20000000000005</v>
      </c>
    </row>
    <row r="255" spans="3:10" x14ac:dyDescent="0.2">
      <c r="C255" t="s">
        <v>2</v>
      </c>
      <c r="D255" t="s">
        <v>34</v>
      </c>
      <c r="E255" t="s">
        <v>13</v>
      </c>
      <c r="F255" s="3">
        <v>252</v>
      </c>
      <c r="G255" s="4">
        <v>54</v>
      </c>
      <c r="H255">
        <f>_xlfn.XLOOKUP(data[[#This Row],[Product]], products[Product],products[Cost per unit])</f>
        <v>9.33</v>
      </c>
      <c r="I255">
        <f>data[[#This Row],[Cost Per Unit]]*data[[#This Row],[Units]]</f>
        <v>503.82</v>
      </c>
      <c r="J255" s="3">
        <f>data[[#This Row],[Amount]]-data[[#This Row],[Cost]]</f>
        <v>-251.82</v>
      </c>
    </row>
    <row r="256" spans="3:10" x14ac:dyDescent="0.2">
      <c r="C256" t="s">
        <v>5</v>
      </c>
      <c r="D256" t="s">
        <v>39</v>
      </c>
      <c r="E256" t="s">
        <v>26</v>
      </c>
      <c r="F256" s="3">
        <v>5236</v>
      </c>
      <c r="G256" s="4">
        <v>51</v>
      </c>
      <c r="H256">
        <f>_xlfn.XLOOKUP(data[[#This Row],[Product]], products[Product],products[Cost per unit])</f>
        <v>5.6</v>
      </c>
      <c r="I256">
        <f>data[[#This Row],[Cost Per Unit]]*data[[#This Row],[Units]]</f>
        <v>285.59999999999997</v>
      </c>
      <c r="J256" s="3">
        <f>data[[#This Row],[Amount]]-data[[#This Row],[Cost]]</f>
        <v>4950.3999999999996</v>
      </c>
    </row>
    <row r="257" spans="3:10" x14ac:dyDescent="0.2">
      <c r="C257" t="s">
        <v>3</v>
      </c>
      <c r="D257" t="s">
        <v>39</v>
      </c>
      <c r="E257" t="s">
        <v>29</v>
      </c>
      <c r="F257" s="3">
        <v>3640</v>
      </c>
      <c r="G257" s="4">
        <v>51</v>
      </c>
      <c r="H257">
        <f>_xlfn.XLOOKUP(data[[#This Row],[Product]], products[Product],products[Cost per unit])</f>
        <v>7.16</v>
      </c>
      <c r="I257">
        <f>data[[#This Row],[Cost Per Unit]]*data[[#This Row],[Units]]</f>
        <v>365.16</v>
      </c>
      <c r="J257" s="3">
        <f>data[[#This Row],[Amount]]-data[[#This Row],[Cost]]</f>
        <v>3274.84</v>
      </c>
    </row>
    <row r="258" spans="3:10" x14ac:dyDescent="0.2">
      <c r="C258" t="s">
        <v>40</v>
      </c>
      <c r="D258" t="s">
        <v>38</v>
      </c>
      <c r="E258" t="s">
        <v>24</v>
      </c>
      <c r="F258" s="3">
        <v>623</v>
      </c>
      <c r="G258" s="4">
        <v>51</v>
      </c>
      <c r="H258">
        <f>_xlfn.XLOOKUP(data[[#This Row],[Product]], products[Product],products[Cost per unit])</f>
        <v>4.97</v>
      </c>
      <c r="I258">
        <f>data[[#This Row],[Cost Per Unit]]*data[[#This Row],[Units]]</f>
        <v>253.47</v>
      </c>
      <c r="J258" s="3">
        <f>data[[#This Row],[Amount]]-data[[#This Row],[Cost]]</f>
        <v>369.53</v>
      </c>
    </row>
    <row r="259" spans="3:10" x14ac:dyDescent="0.2">
      <c r="C259" t="s">
        <v>2</v>
      </c>
      <c r="D259" t="s">
        <v>38</v>
      </c>
      <c r="E259" t="s">
        <v>13</v>
      </c>
      <c r="F259" s="3">
        <v>56</v>
      </c>
      <c r="G259" s="4">
        <v>51</v>
      </c>
      <c r="H259">
        <f>_xlfn.XLOOKUP(data[[#This Row],[Product]], products[Product],products[Cost per unit])</f>
        <v>9.33</v>
      </c>
      <c r="I259">
        <f>data[[#This Row],[Cost Per Unit]]*data[[#This Row],[Units]]</f>
        <v>475.83</v>
      </c>
      <c r="J259" s="3">
        <f>data[[#This Row],[Amount]]-data[[#This Row],[Cost]]</f>
        <v>-419.83</v>
      </c>
    </row>
    <row r="260" spans="3:10" x14ac:dyDescent="0.2">
      <c r="C260" t="s">
        <v>40</v>
      </c>
      <c r="D260" t="s">
        <v>34</v>
      </c>
      <c r="E260" t="s">
        <v>26</v>
      </c>
      <c r="F260" s="3">
        <v>6748</v>
      </c>
      <c r="G260" s="4">
        <v>48</v>
      </c>
      <c r="H260">
        <f>_xlfn.XLOOKUP(data[[#This Row],[Product]], products[Product],products[Cost per unit])</f>
        <v>5.6</v>
      </c>
      <c r="I260">
        <f>data[[#This Row],[Cost Per Unit]]*data[[#This Row],[Units]]</f>
        <v>268.79999999999995</v>
      </c>
      <c r="J260" s="3">
        <f>data[[#This Row],[Amount]]-data[[#This Row],[Cost]]</f>
        <v>6479.2</v>
      </c>
    </row>
    <row r="261" spans="3:10" x14ac:dyDescent="0.2">
      <c r="C261" t="s">
        <v>7</v>
      </c>
      <c r="D261" t="s">
        <v>37</v>
      </c>
      <c r="E261" t="s">
        <v>33</v>
      </c>
      <c r="F261" s="3">
        <v>6391</v>
      </c>
      <c r="G261" s="4">
        <v>48</v>
      </c>
      <c r="H261">
        <f>_xlfn.XLOOKUP(data[[#This Row],[Product]], products[Product],products[Cost per unit])</f>
        <v>12.37</v>
      </c>
      <c r="I261">
        <f>data[[#This Row],[Cost Per Unit]]*data[[#This Row],[Units]]</f>
        <v>593.76</v>
      </c>
      <c r="J261" s="3">
        <f>data[[#This Row],[Amount]]-data[[#This Row],[Cost]]</f>
        <v>5797.24</v>
      </c>
    </row>
    <row r="262" spans="3:10" x14ac:dyDescent="0.2">
      <c r="C262" t="s">
        <v>7</v>
      </c>
      <c r="D262" t="s">
        <v>34</v>
      </c>
      <c r="E262" t="s">
        <v>33</v>
      </c>
      <c r="F262" s="3">
        <v>2226</v>
      </c>
      <c r="G262" s="4">
        <v>48</v>
      </c>
      <c r="H262">
        <f>_xlfn.XLOOKUP(data[[#This Row],[Product]], products[Product],products[Cost per unit])</f>
        <v>12.37</v>
      </c>
      <c r="I262">
        <f>data[[#This Row],[Cost Per Unit]]*data[[#This Row],[Units]]</f>
        <v>593.76</v>
      </c>
      <c r="J262" s="3">
        <f>data[[#This Row],[Amount]]-data[[#This Row],[Cost]]</f>
        <v>1632.24</v>
      </c>
    </row>
    <row r="263" spans="3:10" x14ac:dyDescent="0.2">
      <c r="C263" t="s">
        <v>40</v>
      </c>
      <c r="D263" t="s">
        <v>35</v>
      </c>
      <c r="E263" t="s">
        <v>24</v>
      </c>
      <c r="F263" s="3">
        <v>1638</v>
      </c>
      <c r="G263" s="4">
        <v>48</v>
      </c>
      <c r="H263">
        <f>_xlfn.XLOOKUP(data[[#This Row],[Product]], products[Product],products[Cost per unit])</f>
        <v>4.97</v>
      </c>
      <c r="I263">
        <f>data[[#This Row],[Cost Per Unit]]*data[[#This Row],[Units]]</f>
        <v>238.56</v>
      </c>
      <c r="J263" s="3">
        <f>data[[#This Row],[Amount]]-data[[#This Row],[Cost]]</f>
        <v>1399.44</v>
      </c>
    </row>
    <row r="264" spans="3:10" x14ac:dyDescent="0.2">
      <c r="C264" t="s">
        <v>6</v>
      </c>
      <c r="D264" t="s">
        <v>34</v>
      </c>
      <c r="E264" t="s">
        <v>4</v>
      </c>
      <c r="F264" s="3">
        <v>525</v>
      </c>
      <c r="G264" s="4">
        <v>48</v>
      </c>
      <c r="H264">
        <f>_xlfn.XLOOKUP(data[[#This Row],[Product]], products[Product],products[Cost per unit])</f>
        <v>11.88</v>
      </c>
      <c r="I264">
        <f>data[[#This Row],[Cost Per Unit]]*data[[#This Row],[Units]]</f>
        <v>570.24</v>
      </c>
      <c r="J264" s="3">
        <f>data[[#This Row],[Amount]]-data[[#This Row],[Cost]]</f>
        <v>-45.240000000000009</v>
      </c>
    </row>
    <row r="265" spans="3:10" x14ac:dyDescent="0.2">
      <c r="C265" t="s">
        <v>2</v>
      </c>
      <c r="D265" t="s">
        <v>36</v>
      </c>
      <c r="E265" t="s">
        <v>17</v>
      </c>
      <c r="F265" s="3">
        <v>189</v>
      </c>
      <c r="G265" s="4">
        <v>48</v>
      </c>
      <c r="H265">
        <f>_xlfn.XLOOKUP(data[[#This Row],[Product]], products[Product],products[Cost per unit])</f>
        <v>3.11</v>
      </c>
      <c r="I265">
        <f>data[[#This Row],[Cost Per Unit]]*data[[#This Row],[Units]]</f>
        <v>149.28</v>
      </c>
      <c r="J265" s="3">
        <f>data[[#This Row],[Amount]]-data[[#This Row],[Cost]]</f>
        <v>39.72</v>
      </c>
    </row>
    <row r="266" spans="3:10" x14ac:dyDescent="0.2">
      <c r="C266" t="s">
        <v>5</v>
      </c>
      <c r="D266" t="s">
        <v>37</v>
      </c>
      <c r="E266" t="s">
        <v>31</v>
      </c>
      <c r="F266" s="3">
        <v>182</v>
      </c>
      <c r="G266" s="4">
        <v>48</v>
      </c>
      <c r="H266">
        <f>_xlfn.XLOOKUP(data[[#This Row],[Product]], products[Product],products[Cost per unit])</f>
        <v>5.79</v>
      </c>
      <c r="I266">
        <f>data[[#This Row],[Cost Per Unit]]*data[[#This Row],[Units]]</f>
        <v>277.92</v>
      </c>
      <c r="J266" s="3">
        <f>data[[#This Row],[Amount]]-data[[#This Row],[Cost]]</f>
        <v>-95.920000000000016</v>
      </c>
    </row>
    <row r="267" spans="3:10" x14ac:dyDescent="0.2">
      <c r="C267" t="s">
        <v>5</v>
      </c>
      <c r="D267" t="s">
        <v>38</v>
      </c>
      <c r="E267" t="s">
        <v>25</v>
      </c>
      <c r="F267" s="3">
        <v>7483</v>
      </c>
      <c r="G267" s="4">
        <v>45</v>
      </c>
      <c r="H267">
        <f>_xlfn.XLOOKUP(data[[#This Row],[Product]], products[Product],products[Cost per unit])</f>
        <v>13.15</v>
      </c>
      <c r="I267">
        <f>data[[#This Row],[Cost Per Unit]]*data[[#This Row],[Units]]</f>
        <v>591.75</v>
      </c>
      <c r="J267" s="3">
        <f>data[[#This Row],[Amount]]-data[[#This Row],[Cost]]</f>
        <v>6891.25</v>
      </c>
    </row>
    <row r="268" spans="3:10" x14ac:dyDescent="0.2">
      <c r="C268" t="s">
        <v>8</v>
      </c>
      <c r="D268" t="s">
        <v>37</v>
      </c>
      <c r="E268" t="s">
        <v>26</v>
      </c>
      <c r="F268" s="3">
        <v>6279</v>
      </c>
      <c r="G268" s="4">
        <v>45</v>
      </c>
      <c r="H268">
        <f>_xlfn.XLOOKUP(data[[#This Row],[Product]], products[Product],products[Cost per unit])</f>
        <v>5.6</v>
      </c>
      <c r="I268">
        <f>data[[#This Row],[Cost Per Unit]]*data[[#This Row],[Units]]</f>
        <v>251.99999999999997</v>
      </c>
      <c r="J268" s="3">
        <f>data[[#This Row],[Amount]]-data[[#This Row],[Cost]]</f>
        <v>6027</v>
      </c>
    </row>
    <row r="269" spans="3:10" x14ac:dyDescent="0.2">
      <c r="C269" t="s">
        <v>9</v>
      </c>
      <c r="D269" t="s">
        <v>37</v>
      </c>
      <c r="E269" t="s">
        <v>28</v>
      </c>
      <c r="F269" s="3">
        <v>2919</v>
      </c>
      <c r="G269" s="4">
        <v>45</v>
      </c>
      <c r="H269">
        <f>_xlfn.XLOOKUP(data[[#This Row],[Product]], products[Product],products[Cost per unit])</f>
        <v>10.38</v>
      </c>
      <c r="I269">
        <f>data[[#This Row],[Cost Per Unit]]*data[[#This Row],[Units]]</f>
        <v>467.1</v>
      </c>
      <c r="J269" s="3">
        <f>data[[#This Row],[Amount]]-data[[#This Row],[Cost]]</f>
        <v>2451.9</v>
      </c>
    </row>
    <row r="270" spans="3:10" x14ac:dyDescent="0.2">
      <c r="C270" t="s">
        <v>40</v>
      </c>
      <c r="D270" t="s">
        <v>38</v>
      </c>
      <c r="E270" t="s">
        <v>29</v>
      </c>
      <c r="F270" s="3">
        <v>2541</v>
      </c>
      <c r="G270" s="4">
        <v>45</v>
      </c>
      <c r="H270">
        <f>_xlfn.XLOOKUP(data[[#This Row],[Product]], products[Product],products[Cost per unit])</f>
        <v>7.16</v>
      </c>
      <c r="I270">
        <f>data[[#This Row],[Cost Per Unit]]*data[[#This Row],[Units]]</f>
        <v>322.2</v>
      </c>
      <c r="J270" s="3">
        <f>data[[#This Row],[Amount]]-data[[#This Row],[Cost]]</f>
        <v>2218.8000000000002</v>
      </c>
    </row>
    <row r="271" spans="3:10" x14ac:dyDescent="0.2">
      <c r="C271" t="s">
        <v>7</v>
      </c>
      <c r="D271" t="s">
        <v>36</v>
      </c>
      <c r="E271" t="s">
        <v>22</v>
      </c>
      <c r="F271" s="3">
        <v>8435</v>
      </c>
      <c r="G271" s="4">
        <v>42</v>
      </c>
      <c r="H271">
        <f>_xlfn.XLOOKUP(data[[#This Row],[Product]], products[Product],products[Cost per unit])</f>
        <v>9.77</v>
      </c>
      <c r="I271">
        <f>data[[#This Row],[Cost Per Unit]]*data[[#This Row],[Units]]</f>
        <v>410.34</v>
      </c>
      <c r="J271" s="3">
        <f>data[[#This Row],[Amount]]-data[[#This Row],[Cost]]</f>
        <v>8024.66</v>
      </c>
    </row>
    <row r="272" spans="3:10" x14ac:dyDescent="0.2">
      <c r="C272" t="s">
        <v>3</v>
      </c>
      <c r="D272" t="s">
        <v>34</v>
      </c>
      <c r="E272" t="s">
        <v>25</v>
      </c>
      <c r="F272" s="3">
        <v>6300</v>
      </c>
      <c r="G272" s="4">
        <v>42</v>
      </c>
      <c r="H272">
        <f>_xlfn.XLOOKUP(data[[#This Row],[Product]], products[Product],products[Cost per unit])</f>
        <v>13.15</v>
      </c>
      <c r="I272">
        <f>data[[#This Row],[Cost Per Unit]]*data[[#This Row],[Units]]</f>
        <v>552.30000000000007</v>
      </c>
      <c r="J272" s="3">
        <f>data[[#This Row],[Amount]]-data[[#This Row],[Cost]]</f>
        <v>5747.7</v>
      </c>
    </row>
    <row r="273" spans="3:10" x14ac:dyDescent="0.2">
      <c r="C273" t="s">
        <v>40</v>
      </c>
      <c r="D273" t="s">
        <v>39</v>
      </c>
      <c r="E273" t="s">
        <v>15</v>
      </c>
      <c r="F273" s="3">
        <v>5775</v>
      </c>
      <c r="G273" s="4">
        <v>42</v>
      </c>
      <c r="H273">
        <f>_xlfn.XLOOKUP(data[[#This Row],[Product]], products[Product],products[Cost per unit])</f>
        <v>11.73</v>
      </c>
      <c r="I273">
        <f>data[[#This Row],[Cost Per Unit]]*data[[#This Row],[Units]]</f>
        <v>492.66</v>
      </c>
      <c r="J273" s="3">
        <f>data[[#This Row],[Amount]]-data[[#This Row],[Cost]]</f>
        <v>5282.34</v>
      </c>
    </row>
    <row r="274" spans="3:10" x14ac:dyDescent="0.2">
      <c r="C274" t="s">
        <v>2</v>
      </c>
      <c r="D274" t="s">
        <v>37</v>
      </c>
      <c r="E274" t="s">
        <v>15</v>
      </c>
      <c r="F274" s="3">
        <v>2863</v>
      </c>
      <c r="G274" s="4">
        <v>42</v>
      </c>
      <c r="H274">
        <f>_xlfn.XLOOKUP(data[[#This Row],[Product]], products[Product],products[Cost per unit])</f>
        <v>11.73</v>
      </c>
      <c r="I274">
        <f>data[[#This Row],[Cost Per Unit]]*data[[#This Row],[Units]]</f>
        <v>492.66</v>
      </c>
      <c r="J274" s="3">
        <f>data[[#This Row],[Amount]]-data[[#This Row],[Cost]]</f>
        <v>2370.34</v>
      </c>
    </row>
    <row r="275" spans="3:10" x14ac:dyDescent="0.2">
      <c r="C275" t="s">
        <v>7</v>
      </c>
      <c r="D275" t="s">
        <v>34</v>
      </c>
      <c r="E275" t="s">
        <v>17</v>
      </c>
      <c r="F275" s="3">
        <v>7777</v>
      </c>
      <c r="G275" s="4">
        <v>39</v>
      </c>
      <c r="H275">
        <f>_xlfn.XLOOKUP(data[[#This Row],[Product]], products[Product],products[Cost per unit])</f>
        <v>3.11</v>
      </c>
      <c r="I275">
        <f>data[[#This Row],[Cost Per Unit]]*data[[#This Row],[Units]]</f>
        <v>121.28999999999999</v>
      </c>
      <c r="J275" s="3">
        <f>data[[#This Row],[Amount]]-data[[#This Row],[Cost]]</f>
        <v>7655.71</v>
      </c>
    </row>
    <row r="276" spans="3:10" x14ac:dyDescent="0.2">
      <c r="C276" t="s">
        <v>3</v>
      </c>
      <c r="D276" t="s">
        <v>36</v>
      </c>
      <c r="E276" t="s">
        <v>25</v>
      </c>
      <c r="F276" s="3">
        <v>3339</v>
      </c>
      <c r="G276" s="4">
        <v>39</v>
      </c>
      <c r="H276">
        <f>_xlfn.XLOOKUP(data[[#This Row],[Product]], products[Product],products[Cost per unit])</f>
        <v>13.15</v>
      </c>
      <c r="I276">
        <f>data[[#This Row],[Cost Per Unit]]*data[[#This Row],[Units]]</f>
        <v>512.85</v>
      </c>
      <c r="J276" s="3">
        <f>data[[#This Row],[Amount]]-data[[#This Row],[Cost]]</f>
        <v>2826.15</v>
      </c>
    </row>
    <row r="277" spans="3:10" x14ac:dyDescent="0.2">
      <c r="C277" t="s">
        <v>40</v>
      </c>
      <c r="D277" t="s">
        <v>38</v>
      </c>
      <c r="E277" t="s">
        <v>31</v>
      </c>
      <c r="F277" s="3">
        <v>1988</v>
      </c>
      <c r="G277" s="4">
        <v>39</v>
      </c>
      <c r="H277">
        <f>_xlfn.XLOOKUP(data[[#This Row],[Product]], products[Product],products[Cost per unit])</f>
        <v>5.79</v>
      </c>
      <c r="I277">
        <f>data[[#This Row],[Cost Per Unit]]*data[[#This Row],[Units]]</f>
        <v>225.81</v>
      </c>
      <c r="J277" s="3">
        <f>data[[#This Row],[Amount]]-data[[#This Row],[Cost]]</f>
        <v>1762.19</v>
      </c>
    </row>
    <row r="278" spans="3:10" x14ac:dyDescent="0.2">
      <c r="C278" t="s">
        <v>41</v>
      </c>
      <c r="D278" t="s">
        <v>34</v>
      </c>
      <c r="E278" t="s">
        <v>17</v>
      </c>
      <c r="F278" s="3">
        <v>1463</v>
      </c>
      <c r="G278" s="4">
        <v>39</v>
      </c>
      <c r="H278">
        <f>_xlfn.XLOOKUP(data[[#This Row],[Product]], products[Product],products[Cost per unit])</f>
        <v>3.11</v>
      </c>
      <c r="I278">
        <f>data[[#This Row],[Cost Per Unit]]*data[[#This Row],[Units]]</f>
        <v>121.28999999999999</v>
      </c>
      <c r="J278" s="3">
        <f>data[[#This Row],[Amount]]-data[[#This Row],[Cost]]</f>
        <v>1341.71</v>
      </c>
    </row>
    <row r="279" spans="3:10" x14ac:dyDescent="0.2">
      <c r="C279" t="s">
        <v>3</v>
      </c>
      <c r="D279" t="s">
        <v>36</v>
      </c>
      <c r="E279" t="s">
        <v>16</v>
      </c>
      <c r="F279" s="3">
        <v>9198</v>
      </c>
      <c r="G279" s="4">
        <v>36</v>
      </c>
      <c r="H279">
        <f>_xlfn.XLOOKUP(data[[#This Row],[Product]], products[Product],products[Cost per unit])</f>
        <v>8.7899999999999991</v>
      </c>
      <c r="I279">
        <f>data[[#This Row],[Cost Per Unit]]*data[[#This Row],[Units]]</f>
        <v>316.43999999999994</v>
      </c>
      <c r="J279" s="3">
        <f>data[[#This Row],[Amount]]-data[[#This Row],[Cost]]</f>
        <v>8881.56</v>
      </c>
    </row>
    <row r="280" spans="3:10" x14ac:dyDescent="0.2">
      <c r="C280" t="s">
        <v>6</v>
      </c>
      <c r="D280" t="s">
        <v>38</v>
      </c>
      <c r="E280" t="s">
        <v>21</v>
      </c>
      <c r="F280" s="3">
        <v>7322</v>
      </c>
      <c r="G280" s="4">
        <v>36</v>
      </c>
      <c r="H280">
        <f>_xlfn.XLOOKUP(data[[#This Row],[Product]], products[Product],products[Cost per unit])</f>
        <v>9</v>
      </c>
      <c r="I280">
        <f>data[[#This Row],[Cost Per Unit]]*data[[#This Row],[Units]]</f>
        <v>324</v>
      </c>
      <c r="J280" s="3">
        <f>data[[#This Row],[Amount]]-data[[#This Row],[Cost]]</f>
        <v>6998</v>
      </c>
    </row>
    <row r="281" spans="3:10" x14ac:dyDescent="0.2">
      <c r="C281" t="s">
        <v>2</v>
      </c>
      <c r="D281" t="s">
        <v>39</v>
      </c>
      <c r="E281" t="s">
        <v>15</v>
      </c>
      <c r="F281" s="3">
        <v>4802</v>
      </c>
      <c r="G281" s="4">
        <v>36</v>
      </c>
      <c r="H281">
        <f>_xlfn.XLOOKUP(data[[#This Row],[Product]], products[Product],products[Cost per unit])</f>
        <v>11.73</v>
      </c>
      <c r="I281">
        <f>data[[#This Row],[Cost Per Unit]]*data[[#This Row],[Units]]</f>
        <v>422.28000000000003</v>
      </c>
      <c r="J281" s="3">
        <f>data[[#This Row],[Amount]]-data[[#This Row],[Cost]]</f>
        <v>4379.72</v>
      </c>
    </row>
    <row r="282" spans="3:10" x14ac:dyDescent="0.2">
      <c r="C282" t="s">
        <v>2</v>
      </c>
      <c r="D282" t="s">
        <v>39</v>
      </c>
      <c r="E282" t="s">
        <v>23</v>
      </c>
      <c r="F282" s="3">
        <v>630</v>
      </c>
      <c r="G282" s="4">
        <v>36</v>
      </c>
      <c r="H282">
        <f>_xlfn.XLOOKUP(data[[#This Row],[Product]], products[Product],products[Cost per unit])</f>
        <v>6.49</v>
      </c>
      <c r="I282">
        <f>data[[#This Row],[Cost Per Unit]]*data[[#This Row],[Units]]</f>
        <v>233.64000000000001</v>
      </c>
      <c r="J282" s="3">
        <f>data[[#This Row],[Amount]]-data[[#This Row],[Cost]]</f>
        <v>396.36</v>
      </c>
    </row>
    <row r="283" spans="3:10" x14ac:dyDescent="0.2">
      <c r="C283" t="s">
        <v>40</v>
      </c>
      <c r="D283" t="s">
        <v>36</v>
      </c>
      <c r="E283" t="s">
        <v>4</v>
      </c>
      <c r="F283" s="3">
        <v>217</v>
      </c>
      <c r="G283" s="4">
        <v>36</v>
      </c>
      <c r="H283">
        <f>_xlfn.XLOOKUP(data[[#This Row],[Product]], products[Product],products[Cost per unit])</f>
        <v>11.88</v>
      </c>
      <c r="I283">
        <f>data[[#This Row],[Cost Per Unit]]*data[[#This Row],[Units]]</f>
        <v>427.68</v>
      </c>
      <c r="J283" s="3">
        <f>data[[#This Row],[Amount]]-data[[#This Row],[Cost]]</f>
        <v>-210.68</v>
      </c>
    </row>
    <row r="284" spans="3:10" x14ac:dyDescent="0.2">
      <c r="C284" t="s">
        <v>8</v>
      </c>
      <c r="D284" t="s">
        <v>37</v>
      </c>
      <c r="E284" t="s">
        <v>15</v>
      </c>
      <c r="F284" s="3">
        <v>9709</v>
      </c>
      <c r="G284" s="4">
        <v>30</v>
      </c>
      <c r="H284">
        <f>_xlfn.XLOOKUP(data[[#This Row],[Product]], products[Product],products[Cost per unit])</f>
        <v>11.73</v>
      </c>
      <c r="I284">
        <f>data[[#This Row],[Cost Per Unit]]*data[[#This Row],[Units]]</f>
        <v>351.90000000000003</v>
      </c>
      <c r="J284" s="3">
        <f>data[[#This Row],[Amount]]-data[[#This Row],[Cost]]</f>
        <v>9357.1</v>
      </c>
    </row>
    <row r="285" spans="3:10" x14ac:dyDescent="0.2">
      <c r="C285" t="s">
        <v>40</v>
      </c>
      <c r="D285" t="s">
        <v>39</v>
      </c>
      <c r="E285" t="s">
        <v>27</v>
      </c>
      <c r="F285" s="3">
        <v>6370</v>
      </c>
      <c r="G285" s="4">
        <v>30</v>
      </c>
      <c r="H285">
        <f>_xlfn.XLOOKUP(data[[#This Row],[Product]], products[Product],products[Cost per unit])</f>
        <v>16.73</v>
      </c>
      <c r="I285">
        <f>data[[#This Row],[Cost Per Unit]]*data[[#This Row],[Units]]</f>
        <v>501.90000000000003</v>
      </c>
      <c r="J285" s="3">
        <f>data[[#This Row],[Amount]]-data[[#This Row],[Cost]]</f>
        <v>5868.1</v>
      </c>
    </row>
    <row r="286" spans="3:10" x14ac:dyDescent="0.2">
      <c r="C286" t="s">
        <v>40</v>
      </c>
      <c r="D286" t="s">
        <v>36</v>
      </c>
      <c r="E286" t="s">
        <v>25</v>
      </c>
      <c r="F286" s="3">
        <v>5439</v>
      </c>
      <c r="G286" s="4">
        <v>30</v>
      </c>
      <c r="H286">
        <f>_xlfn.XLOOKUP(data[[#This Row],[Product]], products[Product],products[Cost per unit])</f>
        <v>13.15</v>
      </c>
      <c r="I286">
        <f>data[[#This Row],[Cost Per Unit]]*data[[#This Row],[Units]]</f>
        <v>394.5</v>
      </c>
      <c r="J286" s="3">
        <f>data[[#This Row],[Amount]]-data[[#This Row],[Cost]]</f>
        <v>5044.5</v>
      </c>
    </row>
    <row r="287" spans="3:10" x14ac:dyDescent="0.2">
      <c r="C287" t="s">
        <v>10</v>
      </c>
      <c r="D287" t="s">
        <v>37</v>
      </c>
      <c r="E287" t="s">
        <v>23</v>
      </c>
      <c r="F287" s="3">
        <v>4683</v>
      </c>
      <c r="G287" s="4">
        <v>30</v>
      </c>
      <c r="H287">
        <f>_xlfn.XLOOKUP(data[[#This Row],[Product]], products[Product],products[Cost per unit])</f>
        <v>6.49</v>
      </c>
      <c r="I287">
        <f>data[[#This Row],[Cost Per Unit]]*data[[#This Row],[Units]]</f>
        <v>194.70000000000002</v>
      </c>
      <c r="J287" s="3">
        <f>data[[#This Row],[Amount]]-data[[#This Row],[Cost]]</f>
        <v>4488.3</v>
      </c>
    </row>
    <row r="288" spans="3:10" x14ac:dyDescent="0.2">
      <c r="C288" t="s">
        <v>6</v>
      </c>
      <c r="D288" t="s">
        <v>36</v>
      </c>
      <c r="E288" t="s">
        <v>13</v>
      </c>
      <c r="F288" s="3">
        <v>4319</v>
      </c>
      <c r="G288" s="4">
        <v>30</v>
      </c>
      <c r="H288">
        <f>_xlfn.XLOOKUP(data[[#This Row],[Product]], products[Product],products[Cost per unit])</f>
        <v>9.33</v>
      </c>
      <c r="I288">
        <f>data[[#This Row],[Cost Per Unit]]*data[[#This Row],[Units]]</f>
        <v>279.89999999999998</v>
      </c>
      <c r="J288" s="3">
        <f>data[[#This Row],[Amount]]-data[[#This Row],[Cost]]</f>
        <v>4039.1</v>
      </c>
    </row>
    <row r="289" spans="3:10" x14ac:dyDescent="0.2">
      <c r="C289" t="s">
        <v>8</v>
      </c>
      <c r="D289" t="s">
        <v>39</v>
      </c>
      <c r="E289" t="s">
        <v>18</v>
      </c>
      <c r="F289" s="3">
        <v>9660</v>
      </c>
      <c r="G289" s="4">
        <v>27</v>
      </c>
      <c r="H289">
        <f>_xlfn.XLOOKUP(data[[#This Row],[Product]], products[Product],products[Cost per unit])</f>
        <v>6.47</v>
      </c>
      <c r="I289">
        <f>data[[#This Row],[Cost Per Unit]]*data[[#This Row],[Units]]</f>
        <v>174.69</v>
      </c>
      <c r="J289" s="3">
        <f>data[[#This Row],[Amount]]-data[[#This Row],[Cost]]</f>
        <v>9485.31</v>
      </c>
    </row>
    <row r="290" spans="3:10" x14ac:dyDescent="0.2">
      <c r="C290" t="s">
        <v>9</v>
      </c>
      <c r="D290" t="s">
        <v>34</v>
      </c>
      <c r="E290" t="s">
        <v>21</v>
      </c>
      <c r="F290" s="3">
        <v>6832</v>
      </c>
      <c r="G290" s="4">
        <v>27</v>
      </c>
      <c r="H290">
        <f>_xlfn.XLOOKUP(data[[#This Row],[Product]], products[Product],products[Cost per unit])</f>
        <v>9</v>
      </c>
      <c r="I290">
        <f>data[[#This Row],[Cost Per Unit]]*data[[#This Row],[Units]]</f>
        <v>243</v>
      </c>
      <c r="J290" s="3">
        <f>data[[#This Row],[Amount]]-data[[#This Row],[Cost]]</f>
        <v>6589</v>
      </c>
    </row>
    <row r="291" spans="3:10" x14ac:dyDescent="0.2">
      <c r="C291" t="s">
        <v>6</v>
      </c>
      <c r="D291" t="s">
        <v>39</v>
      </c>
      <c r="E291" t="s">
        <v>17</v>
      </c>
      <c r="F291" s="3">
        <v>6048</v>
      </c>
      <c r="G291" s="4">
        <v>27</v>
      </c>
      <c r="H291">
        <f>_xlfn.XLOOKUP(data[[#This Row],[Product]], products[Product],products[Cost per unit])</f>
        <v>3.11</v>
      </c>
      <c r="I291">
        <f>data[[#This Row],[Cost Per Unit]]*data[[#This Row],[Units]]</f>
        <v>83.97</v>
      </c>
      <c r="J291" s="3">
        <f>data[[#This Row],[Amount]]-data[[#This Row],[Cost]]</f>
        <v>5964.03</v>
      </c>
    </row>
    <row r="292" spans="3:10" x14ac:dyDescent="0.2">
      <c r="C292" t="s">
        <v>10</v>
      </c>
      <c r="D292" t="s">
        <v>37</v>
      </c>
      <c r="E292" t="s">
        <v>28</v>
      </c>
      <c r="F292" s="3">
        <v>3059</v>
      </c>
      <c r="G292" s="4">
        <v>27</v>
      </c>
      <c r="H292">
        <f>_xlfn.XLOOKUP(data[[#This Row],[Product]], products[Product],products[Cost per unit])</f>
        <v>10.38</v>
      </c>
      <c r="I292">
        <f>data[[#This Row],[Cost Per Unit]]*data[[#This Row],[Units]]</f>
        <v>280.26000000000005</v>
      </c>
      <c r="J292" s="3">
        <f>data[[#This Row],[Amount]]-data[[#This Row],[Cost]]</f>
        <v>2778.74</v>
      </c>
    </row>
    <row r="293" spans="3:10" x14ac:dyDescent="0.2">
      <c r="C293" t="s">
        <v>7</v>
      </c>
      <c r="D293" t="s">
        <v>35</v>
      </c>
      <c r="E293" t="s">
        <v>16</v>
      </c>
      <c r="F293" s="3">
        <v>2135</v>
      </c>
      <c r="G293" s="4">
        <v>27</v>
      </c>
      <c r="H293">
        <f>_xlfn.XLOOKUP(data[[#This Row],[Product]], products[Product],products[Cost per unit])</f>
        <v>8.7899999999999991</v>
      </c>
      <c r="I293">
        <f>data[[#This Row],[Cost Per Unit]]*data[[#This Row],[Units]]</f>
        <v>237.32999999999998</v>
      </c>
      <c r="J293" s="3">
        <f>data[[#This Row],[Amount]]-data[[#This Row],[Cost]]</f>
        <v>1897.67</v>
      </c>
    </row>
    <row r="294" spans="3:10" x14ac:dyDescent="0.2">
      <c r="C294" t="s">
        <v>8</v>
      </c>
      <c r="D294" t="s">
        <v>39</v>
      </c>
      <c r="E294" t="s">
        <v>26</v>
      </c>
      <c r="F294" s="3">
        <v>1561</v>
      </c>
      <c r="G294" s="4">
        <v>27</v>
      </c>
      <c r="H294">
        <f>_xlfn.XLOOKUP(data[[#This Row],[Product]], products[Product],products[Cost per unit])</f>
        <v>5.6</v>
      </c>
      <c r="I294">
        <f>data[[#This Row],[Cost Per Unit]]*data[[#This Row],[Units]]</f>
        <v>151.19999999999999</v>
      </c>
      <c r="J294" s="3">
        <f>data[[#This Row],[Amount]]-data[[#This Row],[Cost]]</f>
        <v>1409.8</v>
      </c>
    </row>
    <row r="295" spans="3:10" x14ac:dyDescent="0.2">
      <c r="C295" t="s">
        <v>10</v>
      </c>
      <c r="D295" t="s">
        <v>34</v>
      </c>
      <c r="E295" t="s">
        <v>22</v>
      </c>
      <c r="F295" s="3">
        <v>4053</v>
      </c>
      <c r="G295" s="4">
        <v>24</v>
      </c>
      <c r="H295">
        <f>_xlfn.XLOOKUP(data[[#This Row],[Product]], products[Product],products[Cost per unit])</f>
        <v>9.77</v>
      </c>
      <c r="I295">
        <f>data[[#This Row],[Cost Per Unit]]*data[[#This Row],[Units]]</f>
        <v>234.48</v>
      </c>
      <c r="J295" s="3">
        <f>data[[#This Row],[Amount]]-data[[#This Row],[Cost]]</f>
        <v>3818.52</v>
      </c>
    </row>
    <row r="296" spans="3:10" x14ac:dyDescent="0.2">
      <c r="C296" t="s">
        <v>7</v>
      </c>
      <c r="D296" t="s">
        <v>34</v>
      </c>
      <c r="E296" t="s">
        <v>15</v>
      </c>
      <c r="F296" s="3">
        <v>3829</v>
      </c>
      <c r="G296" s="4">
        <v>24</v>
      </c>
      <c r="H296">
        <f>_xlfn.XLOOKUP(data[[#This Row],[Product]], products[Product],products[Cost per unit])</f>
        <v>11.73</v>
      </c>
      <c r="I296">
        <f>data[[#This Row],[Cost Per Unit]]*data[[#This Row],[Units]]</f>
        <v>281.52</v>
      </c>
      <c r="J296" s="3">
        <f>data[[#This Row],[Amount]]-data[[#This Row],[Cost]]</f>
        <v>3547.48</v>
      </c>
    </row>
    <row r="297" spans="3:10" x14ac:dyDescent="0.2">
      <c r="C297" t="s">
        <v>5</v>
      </c>
      <c r="D297" t="s">
        <v>37</v>
      </c>
      <c r="E297" t="s">
        <v>25</v>
      </c>
      <c r="F297" s="3">
        <v>8813</v>
      </c>
      <c r="G297" s="4">
        <v>21</v>
      </c>
      <c r="H297">
        <f>_xlfn.XLOOKUP(data[[#This Row],[Product]], products[Product],products[Cost per unit])</f>
        <v>13.15</v>
      </c>
      <c r="I297">
        <f>data[[#This Row],[Cost Per Unit]]*data[[#This Row],[Units]]</f>
        <v>276.15000000000003</v>
      </c>
      <c r="J297" s="3">
        <f>data[[#This Row],[Amount]]-data[[#This Row],[Cost]]</f>
        <v>8536.85</v>
      </c>
    </row>
    <row r="298" spans="3:10" x14ac:dyDescent="0.2">
      <c r="C298" t="s">
        <v>40</v>
      </c>
      <c r="D298" t="s">
        <v>37</v>
      </c>
      <c r="E298" t="s">
        <v>19</v>
      </c>
      <c r="F298" s="3">
        <v>7693</v>
      </c>
      <c r="G298" s="4">
        <v>21</v>
      </c>
      <c r="H298">
        <f>_xlfn.XLOOKUP(data[[#This Row],[Product]], products[Product],products[Cost per unit])</f>
        <v>7.64</v>
      </c>
      <c r="I298">
        <f>data[[#This Row],[Cost Per Unit]]*data[[#This Row],[Units]]</f>
        <v>160.44</v>
      </c>
      <c r="J298" s="3">
        <f>data[[#This Row],[Amount]]-data[[#This Row],[Cost]]</f>
        <v>7532.56</v>
      </c>
    </row>
    <row r="299" spans="3:10" x14ac:dyDescent="0.2">
      <c r="C299" t="s">
        <v>5</v>
      </c>
      <c r="D299" t="s">
        <v>34</v>
      </c>
      <c r="E299" t="s">
        <v>27</v>
      </c>
      <c r="F299" s="3">
        <v>6986</v>
      </c>
      <c r="G299" s="4">
        <v>21</v>
      </c>
      <c r="H299">
        <f>_xlfn.XLOOKUP(data[[#This Row],[Product]], products[Product],products[Cost per unit])</f>
        <v>16.73</v>
      </c>
      <c r="I299">
        <f>data[[#This Row],[Cost Per Unit]]*data[[#This Row],[Units]]</f>
        <v>351.33</v>
      </c>
      <c r="J299" s="3">
        <f>data[[#This Row],[Amount]]-data[[#This Row],[Cost]]</f>
        <v>6634.67</v>
      </c>
    </row>
    <row r="300" spans="3:10" x14ac:dyDescent="0.2">
      <c r="C300" t="s">
        <v>5</v>
      </c>
      <c r="D300" t="s">
        <v>38</v>
      </c>
      <c r="E300" t="s">
        <v>32</v>
      </c>
      <c r="F300" s="3">
        <v>5075</v>
      </c>
      <c r="G300" s="4">
        <v>21</v>
      </c>
      <c r="H300">
        <f>_xlfn.XLOOKUP(data[[#This Row],[Product]], products[Product],products[Cost per unit])</f>
        <v>8.65</v>
      </c>
      <c r="I300">
        <f>data[[#This Row],[Cost Per Unit]]*data[[#This Row],[Units]]</f>
        <v>181.65</v>
      </c>
      <c r="J300" s="3">
        <f>data[[#This Row],[Amount]]-data[[#This Row],[Cost]]</f>
        <v>4893.3500000000004</v>
      </c>
    </row>
    <row r="301" spans="3:10" x14ac:dyDescent="0.2">
      <c r="C301" t="s">
        <v>7</v>
      </c>
      <c r="D301" t="s">
        <v>35</v>
      </c>
      <c r="E301" t="s">
        <v>27</v>
      </c>
      <c r="F301" s="3">
        <v>2478</v>
      </c>
      <c r="G301" s="4">
        <v>21</v>
      </c>
      <c r="H301">
        <f>_xlfn.XLOOKUP(data[[#This Row],[Product]], products[Product],products[Cost per unit])</f>
        <v>16.73</v>
      </c>
      <c r="I301">
        <f>data[[#This Row],[Cost Per Unit]]*data[[#This Row],[Units]]</f>
        <v>351.33</v>
      </c>
      <c r="J301" s="3">
        <f>data[[#This Row],[Amount]]-data[[#This Row],[Cost]]</f>
        <v>2126.67</v>
      </c>
    </row>
    <row r="302" spans="3:10" x14ac:dyDescent="0.2">
      <c r="C302" t="s">
        <v>41</v>
      </c>
      <c r="D302" t="s">
        <v>38</v>
      </c>
      <c r="E302" t="s">
        <v>25</v>
      </c>
      <c r="F302" s="3">
        <v>154</v>
      </c>
      <c r="G302" s="4">
        <v>21</v>
      </c>
      <c r="H302">
        <f>_xlfn.XLOOKUP(data[[#This Row],[Product]], products[Product],products[Cost per unit])</f>
        <v>13.15</v>
      </c>
      <c r="I302">
        <f>data[[#This Row],[Cost Per Unit]]*data[[#This Row],[Units]]</f>
        <v>276.15000000000003</v>
      </c>
      <c r="J302" s="3">
        <f>data[[#This Row],[Amount]]-data[[#This Row],[Cost]]</f>
        <v>-122.15000000000003</v>
      </c>
    </row>
    <row r="303" spans="3:10" x14ac:dyDescent="0.2">
      <c r="C303" t="s">
        <v>3</v>
      </c>
      <c r="D303" t="s">
        <v>34</v>
      </c>
      <c r="E303" t="s">
        <v>20</v>
      </c>
      <c r="F303" s="3">
        <v>2583</v>
      </c>
      <c r="G303" s="4">
        <v>18</v>
      </c>
      <c r="H303">
        <f>_xlfn.XLOOKUP(data[[#This Row],[Product]], products[Product],products[Cost per unit])</f>
        <v>10.62</v>
      </c>
      <c r="I303">
        <f>data[[#This Row],[Cost Per Unit]]*data[[#This Row],[Units]]</f>
        <v>191.16</v>
      </c>
      <c r="J303" s="3">
        <f>data[[#This Row],[Amount]]-data[[#This Row],[Cost]]</f>
        <v>2391.84</v>
      </c>
    </row>
    <row r="304" spans="3:10" x14ac:dyDescent="0.2">
      <c r="C304" t="s">
        <v>3</v>
      </c>
      <c r="D304" t="s">
        <v>36</v>
      </c>
      <c r="E304" t="s">
        <v>19</v>
      </c>
      <c r="F304" s="3">
        <v>1281</v>
      </c>
      <c r="G304" s="4">
        <v>18</v>
      </c>
      <c r="H304">
        <f>_xlfn.XLOOKUP(data[[#This Row],[Product]], products[Product],products[Cost per unit])</f>
        <v>7.64</v>
      </c>
      <c r="I304">
        <f>data[[#This Row],[Cost Per Unit]]*data[[#This Row],[Units]]</f>
        <v>137.51999999999998</v>
      </c>
      <c r="J304" s="3">
        <f>data[[#This Row],[Amount]]-data[[#This Row],[Cost]]</f>
        <v>1143.48</v>
      </c>
    </row>
    <row r="305" spans="3:10" x14ac:dyDescent="0.2">
      <c r="C305" t="s">
        <v>2</v>
      </c>
      <c r="D305" t="s">
        <v>37</v>
      </c>
      <c r="E305" t="s">
        <v>19</v>
      </c>
      <c r="F305" s="3">
        <v>238</v>
      </c>
      <c r="G305" s="4">
        <v>18</v>
      </c>
      <c r="H305">
        <f>_xlfn.XLOOKUP(data[[#This Row],[Product]], products[Product],products[Cost per unit])</f>
        <v>7.64</v>
      </c>
      <c r="I305">
        <f>data[[#This Row],[Cost Per Unit]]*data[[#This Row],[Units]]</f>
        <v>137.51999999999998</v>
      </c>
      <c r="J305" s="3">
        <f>data[[#This Row],[Amount]]-data[[#This Row],[Cost]]</f>
        <v>100.48000000000002</v>
      </c>
    </row>
    <row r="306" spans="3:10" x14ac:dyDescent="0.2">
      <c r="C306" t="s">
        <v>5</v>
      </c>
      <c r="D306" t="s">
        <v>36</v>
      </c>
      <c r="E306" t="s">
        <v>23</v>
      </c>
      <c r="F306" s="3">
        <v>6314</v>
      </c>
      <c r="G306" s="4">
        <v>15</v>
      </c>
      <c r="H306">
        <f>_xlfn.XLOOKUP(data[[#This Row],[Product]], products[Product],products[Cost per unit])</f>
        <v>6.49</v>
      </c>
      <c r="I306">
        <f>data[[#This Row],[Cost Per Unit]]*data[[#This Row],[Units]]</f>
        <v>97.350000000000009</v>
      </c>
      <c r="J306" s="3">
        <f>data[[#This Row],[Amount]]-data[[#This Row],[Cost]]</f>
        <v>6216.65</v>
      </c>
    </row>
    <row r="307" spans="3:10" x14ac:dyDescent="0.2">
      <c r="C307" t="s">
        <v>5</v>
      </c>
      <c r="D307" t="s">
        <v>35</v>
      </c>
      <c r="E307" t="s">
        <v>18</v>
      </c>
      <c r="F307" s="3">
        <v>2415</v>
      </c>
      <c r="G307" s="4">
        <v>15</v>
      </c>
      <c r="H307">
        <f>_xlfn.XLOOKUP(data[[#This Row],[Product]], products[Product],products[Cost per unit])</f>
        <v>6.47</v>
      </c>
      <c r="I307">
        <f>data[[#This Row],[Cost Per Unit]]*data[[#This Row],[Units]]</f>
        <v>97.05</v>
      </c>
      <c r="J307" s="3">
        <f>data[[#This Row],[Amount]]-data[[#This Row],[Cost]]</f>
        <v>2317.9499999999998</v>
      </c>
    </row>
    <row r="308" spans="3:10" x14ac:dyDescent="0.2">
      <c r="C308" t="s">
        <v>6</v>
      </c>
      <c r="D308" t="s">
        <v>34</v>
      </c>
      <c r="E308" t="s">
        <v>15</v>
      </c>
      <c r="F308" s="3">
        <v>1442</v>
      </c>
      <c r="G308" s="4">
        <v>15</v>
      </c>
      <c r="H308">
        <f>_xlfn.XLOOKUP(data[[#This Row],[Product]], products[Product],products[Cost per unit])</f>
        <v>11.73</v>
      </c>
      <c r="I308">
        <f>data[[#This Row],[Cost Per Unit]]*data[[#This Row],[Units]]</f>
        <v>175.95000000000002</v>
      </c>
      <c r="J308" s="3">
        <f>data[[#This Row],[Amount]]-data[[#This Row],[Cost]]</f>
        <v>1266.05</v>
      </c>
    </row>
    <row r="309" spans="3:10" x14ac:dyDescent="0.2">
      <c r="C309" t="s">
        <v>2</v>
      </c>
      <c r="D309" t="s">
        <v>35</v>
      </c>
      <c r="E309" t="s">
        <v>19</v>
      </c>
      <c r="F309" s="3">
        <v>553</v>
      </c>
      <c r="G309" s="4">
        <v>15</v>
      </c>
      <c r="H309">
        <f>_xlfn.XLOOKUP(data[[#This Row],[Product]], products[Product],products[Cost per unit])</f>
        <v>7.64</v>
      </c>
      <c r="I309">
        <f>data[[#This Row],[Cost Per Unit]]*data[[#This Row],[Units]]</f>
        <v>114.6</v>
      </c>
      <c r="J309" s="3">
        <f>data[[#This Row],[Amount]]-data[[#This Row],[Cost]]</f>
        <v>438.4</v>
      </c>
    </row>
    <row r="310" spans="3:10" x14ac:dyDescent="0.2">
      <c r="C310" t="s">
        <v>40</v>
      </c>
      <c r="D310" t="s">
        <v>39</v>
      </c>
      <c r="E310" t="s">
        <v>22</v>
      </c>
      <c r="F310" s="3">
        <v>5817</v>
      </c>
      <c r="G310" s="4">
        <v>12</v>
      </c>
      <c r="H310">
        <f>_xlfn.XLOOKUP(data[[#This Row],[Product]], products[Product],products[Cost per unit])</f>
        <v>9.77</v>
      </c>
      <c r="I310">
        <f>data[[#This Row],[Cost Per Unit]]*data[[#This Row],[Units]]</f>
        <v>117.24</v>
      </c>
      <c r="J310" s="3">
        <f>data[[#This Row],[Amount]]-data[[#This Row],[Cost]]</f>
        <v>5699.76</v>
      </c>
    </row>
    <row r="311" spans="3:10" x14ac:dyDescent="0.2">
      <c r="C311" t="s">
        <v>5</v>
      </c>
      <c r="D311" t="s">
        <v>37</v>
      </c>
      <c r="E311" t="s">
        <v>14</v>
      </c>
      <c r="F311" s="3">
        <v>4991</v>
      </c>
      <c r="G311" s="4">
        <v>12</v>
      </c>
      <c r="H311">
        <f>_xlfn.XLOOKUP(data[[#This Row],[Product]], products[Product],products[Cost per unit])</f>
        <v>11.7</v>
      </c>
      <c r="I311">
        <f>data[[#This Row],[Cost Per Unit]]*data[[#This Row],[Units]]</f>
        <v>140.39999999999998</v>
      </c>
      <c r="J311" s="3">
        <f>data[[#This Row],[Amount]]-data[[#This Row],[Cost]]</f>
        <v>4850.6000000000004</v>
      </c>
    </row>
    <row r="312" spans="3:10" x14ac:dyDescent="0.2">
      <c r="F312" s="3"/>
      <c r="G312" s="4"/>
    </row>
    <row r="313" spans="3:10" x14ac:dyDescent="0.2">
      <c r="F313" s="3"/>
      <c r="G313" s="4"/>
    </row>
    <row r="314" spans="3:10" x14ac:dyDescent="0.2">
      <c r="F314" s="3"/>
      <c r="G314" s="4"/>
    </row>
    <row r="315" spans="3:10" x14ac:dyDescent="0.2">
      <c r="F315" s="3"/>
      <c r="G315" s="4"/>
    </row>
    <row r="316" spans="3:10" x14ac:dyDescent="0.2">
      <c r="F316" s="3"/>
      <c r="G316" s="4"/>
    </row>
    <row r="317" spans="3:10" x14ac:dyDescent="0.2">
      <c r="F317" s="3"/>
      <c r="G317" s="4"/>
    </row>
    <row r="318" spans="3:10" x14ac:dyDescent="0.2">
      <c r="F318" s="3"/>
      <c r="G318" s="4"/>
    </row>
    <row r="319" spans="3:10" x14ac:dyDescent="0.2">
      <c r="F319" s="3"/>
      <c r="G319" s="4"/>
    </row>
    <row r="320" spans="3:10" x14ac:dyDescent="0.2">
      <c r="F320" s="3"/>
      <c r="G320" s="4"/>
    </row>
    <row r="321" spans="6:7" x14ac:dyDescent="0.2">
      <c r="F321" s="3"/>
      <c r="G321" s="4"/>
    </row>
    <row r="322" spans="6:7" x14ac:dyDescent="0.2">
      <c r="F322" s="3"/>
      <c r="G322" s="4"/>
    </row>
    <row r="323" spans="6:7" x14ac:dyDescent="0.2">
      <c r="F323" s="3"/>
      <c r="G323" s="4"/>
    </row>
    <row r="324" spans="6:7" x14ac:dyDescent="0.2">
      <c r="F324" s="3"/>
      <c r="G324" s="4"/>
    </row>
    <row r="325" spans="6:7" x14ac:dyDescent="0.2">
      <c r="F325" s="3"/>
      <c r="G325" s="4"/>
    </row>
    <row r="326" spans="6:7" x14ac:dyDescent="0.2">
      <c r="F326" s="3"/>
      <c r="G326" s="4"/>
    </row>
    <row r="327" spans="6:7" x14ac:dyDescent="0.2">
      <c r="F327" s="3"/>
      <c r="G327" s="4"/>
    </row>
    <row r="328" spans="6:7" x14ac:dyDescent="0.2">
      <c r="F328" s="3"/>
      <c r="G328" s="4"/>
    </row>
    <row r="329" spans="6:7" x14ac:dyDescent="0.2">
      <c r="F329" s="3"/>
      <c r="G329" s="4"/>
    </row>
    <row r="330" spans="6:7" x14ac:dyDescent="0.2">
      <c r="F330" s="3"/>
      <c r="G330" s="4"/>
    </row>
    <row r="331" spans="6:7" x14ac:dyDescent="0.2">
      <c r="F331" s="3"/>
      <c r="G331" s="4"/>
    </row>
    <row r="332" spans="6:7" x14ac:dyDescent="0.2">
      <c r="F332" s="3"/>
      <c r="G332" s="4"/>
    </row>
    <row r="333" spans="6:7" x14ac:dyDescent="0.2">
      <c r="F333" s="3"/>
      <c r="G333" s="4"/>
    </row>
    <row r="334" spans="6:7" x14ac:dyDescent="0.2">
      <c r="F334" s="3"/>
      <c r="G334" s="4"/>
    </row>
    <row r="335" spans="6:7" x14ac:dyDescent="0.2">
      <c r="F335" s="3"/>
      <c r="G335" s="4"/>
    </row>
    <row r="336" spans="6:7" x14ac:dyDescent="0.2">
      <c r="F336" s="3"/>
      <c r="G336" s="4"/>
    </row>
    <row r="337" spans="6:7" x14ac:dyDescent="0.2">
      <c r="F337" s="3"/>
      <c r="G337" s="4"/>
    </row>
    <row r="338" spans="6:7" x14ac:dyDescent="0.2">
      <c r="F338" s="3"/>
      <c r="G338" s="4"/>
    </row>
    <row r="339" spans="6:7" x14ac:dyDescent="0.2">
      <c r="F339" s="3"/>
      <c r="G339" s="4"/>
    </row>
    <row r="340" spans="6:7" x14ac:dyDescent="0.2">
      <c r="F340" s="3"/>
      <c r="G340" s="4"/>
    </row>
    <row r="341" spans="6:7" x14ac:dyDescent="0.2">
      <c r="F341" s="3"/>
      <c r="G341" s="4"/>
    </row>
    <row r="342" spans="6:7" x14ac:dyDescent="0.2">
      <c r="F342" s="3"/>
      <c r="G342" s="4"/>
    </row>
    <row r="343" spans="6:7" x14ac:dyDescent="0.2">
      <c r="F343" s="3"/>
      <c r="G343" s="4"/>
    </row>
    <row r="344" spans="6:7" x14ac:dyDescent="0.2">
      <c r="F344" s="3"/>
      <c r="G344" s="4"/>
    </row>
    <row r="345" spans="6:7" x14ac:dyDescent="0.2">
      <c r="F345" s="3"/>
      <c r="G345" s="4"/>
    </row>
    <row r="346" spans="6:7" x14ac:dyDescent="0.2">
      <c r="F346" s="3"/>
      <c r="G346" s="4"/>
    </row>
    <row r="347" spans="6:7" x14ac:dyDescent="0.2">
      <c r="F347" s="3"/>
      <c r="G347" s="4"/>
    </row>
    <row r="348" spans="6:7" x14ac:dyDescent="0.2">
      <c r="F348" s="3"/>
      <c r="G348" s="4"/>
    </row>
    <row r="349" spans="6:7" x14ac:dyDescent="0.2">
      <c r="F349" s="3"/>
      <c r="G349" s="4"/>
    </row>
    <row r="350" spans="6:7" x14ac:dyDescent="0.2">
      <c r="F350" s="3"/>
      <c r="G350" s="4"/>
    </row>
    <row r="351" spans="6:7" x14ac:dyDescent="0.2">
      <c r="F351" s="3"/>
      <c r="G351" s="4"/>
    </row>
    <row r="352" spans="6:7" x14ac:dyDescent="0.2">
      <c r="F352" s="3"/>
      <c r="G352" s="4"/>
    </row>
    <row r="353" spans="6:7" x14ac:dyDescent="0.2">
      <c r="F353" s="3"/>
      <c r="G353" s="4"/>
    </row>
    <row r="354" spans="6:7" x14ac:dyDescent="0.2">
      <c r="F354" s="3"/>
      <c r="G354" s="4"/>
    </row>
    <row r="355" spans="6:7" x14ac:dyDescent="0.2">
      <c r="F355" s="3"/>
      <c r="G355" s="4"/>
    </row>
    <row r="356" spans="6:7" x14ac:dyDescent="0.2">
      <c r="F356" s="3"/>
      <c r="G356" s="4"/>
    </row>
    <row r="357" spans="6:7" x14ac:dyDescent="0.2">
      <c r="F357" s="3"/>
      <c r="G357" s="4"/>
    </row>
    <row r="358" spans="6:7" x14ac:dyDescent="0.2">
      <c r="F358" s="3"/>
      <c r="G358" s="4"/>
    </row>
    <row r="359" spans="6:7" x14ac:dyDescent="0.2">
      <c r="F359" s="3"/>
      <c r="G359" s="4"/>
    </row>
    <row r="360" spans="6:7" x14ac:dyDescent="0.2">
      <c r="F360" s="3"/>
      <c r="G360" s="4"/>
    </row>
    <row r="361" spans="6:7" x14ac:dyDescent="0.2">
      <c r="F361" s="3"/>
      <c r="G361" s="4"/>
    </row>
    <row r="362" spans="6:7" x14ac:dyDescent="0.2">
      <c r="F362" s="3"/>
      <c r="G362" s="4"/>
    </row>
    <row r="363" spans="6:7" x14ac:dyDescent="0.2">
      <c r="F363" s="3"/>
      <c r="G363" s="4"/>
    </row>
    <row r="364" spans="6:7" x14ac:dyDescent="0.2">
      <c r="F364" s="3"/>
      <c r="G364" s="4"/>
    </row>
    <row r="365" spans="6:7" x14ac:dyDescent="0.2">
      <c r="F365" s="3"/>
      <c r="G365" s="4"/>
    </row>
    <row r="366" spans="6:7" x14ac:dyDescent="0.2">
      <c r="F366" s="3"/>
      <c r="G366" s="4"/>
    </row>
    <row r="367" spans="6:7" x14ac:dyDescent="0.2">
      <c r="F367" s="3"/>
      <c r="G367" s="4"/>
    </row>
    <row r="368" spans="6:7" x14ac:dyDescent="0.2">
      <c r="F368" s="3"/>
      <c r="G368" s="4"/>
    </row>
    <row r="369" spans="6:7" x14ac:dyDescent="0.2">
      <c r="F369" s="3"/>
      <c r="G369" s="4"/>
    </row>
    <row r="370" spans="6:7" x14ac:dyDescent="0.2">
      <c r="F370" s="3"/>
      <c r="G370" s="4"/>
    </row>
    <row r="371" spans="6:7" x14ac:dyDescent="0.2">
      <c r="F371" s="3"/>
      <c r="G371" s="4"/>
    </row>
    <row r="372" spans="6:7" x14ac:dyDescent="0.2">
      <c r="F372" s="3"/>
      <c r="G372" s="4"/>
    </row>
    <row r="373" spans="6:7" x14ac:dyDescent="0.2">
      <c r="F373" s="3"/>
      <c r="G373" s="4"/>
    </row>
    <row r="374" spans="6:7" x14ac:dyDescent="0.2">
      <c r="F374" s="3"/>
      <c r="G374" s="4"/>
    </row>
    <row r="375" spans="6:7" x14ac:dyDescent="0.2">
      <c r="F375" s="3"/>
      <c r="G375" s="4"/>
    </row>
    <row r="376" spans="6:7" x14ac:dyDescent="0.2">
      <c r="F376" s="3"/>
      <c r="G376" s="4"/>
    </row>
    <row r="377" spans="6:7" x14ac:dyDescent="0.2">
      <c r="F377" s="3"/>
      <c r="G377" s="4"/>
    </row>
    <row r="378" spans="6:7" x14ac:dyDescent="0.2">
      <c r="F378" s="3"/>
      <c r="G378" s="4"/>
    </row>
    <row r="379" spans="6:7" x14ac:dyDescent="0.2">
      <c r="F379" s="3"/>
      <c r="G379" s="4"/>
    </row>
    <row r="380" spans="6:7" x14ac:dyDescent="0.2">
      <c r="F380" s="3"/>
      <c r="G380" s="4"/>
    </row>
    <row r="381" spans="6:7" x14ac:dyDescent="0.2">
      <c r="F381" s="3"/>
      <c r="G381" s="4"/>
    </row>
    <row r="382" spans="6:7" x14ac:dyDescent="0.2">
      <c r="F382" s="3"/>
      <c r="G382" s="4"/>
    </row>
    <row r="383" spans="6:7" x14ac:dyDescent="0.2">
      <c r="F383" s="3"/>
      <c r="G383" s="4"/>
    </row>
    <row r="384" spans="6:7" x14ac:dyDescent="0.2">
      <c r="F384" s="3"/>
      <c r="G384" s="4"/>
    </row>
    <row r="385" spans="6:7" x14ac:dyDescent="0.2">
      <c r="F385" s="3"/>
      <c r="G385" s="4"/>
    </row>
    <row r="386" spans="6:7" x14ac:dyDescent="0.2">
      <c r="F386" s="3"/>
      <c r="G386" s="4"/>
    </row>
    <row r="387" spans="6:7" x14ac:dyDescent="0.2">
      <c r="F387" s="3"/>
      <c r="G387" s="4"/>
    </row>
    <row r="388" spans="6:7" x14ac:dyDescent="0.2">
      <c r="F388" s="3"/>
      <c r="G388" s="4"/>
    </row>
    <row r="389" spans="6:7" x14ac:dyDescent="0.2">
      <c r="F389" s="3"/>
      <c r="G389" s="4"/>
    </row>
    <row r="390" spans="6:7" x14ac:dyDescent="0.2">
      <c r="F390" s="3"/>
      <c r="G390" s="4"/>
    </row>
    <row r="391" spans="6:7" x14ac:dyDescent="0.2">
      <c r="F391" s="3"/>
      <c r="G391" s="4"/>
    </row>
    <row r="392" spans="6:7" x14ac:dyDescent="0.2">
      <c r="F392" s="3"/>
      <c r="G392" s="4"/>
    </row>
    <row r="393" spans="6:7" x14ac:dyDescent="0.2">
      <c r="F393" s="3"/>
      <c r="G393" s="4"/>
    </row>
    <row r="394" spans="6:7" x14ac:dyDescent="0.2">
      <c r="F394" s="3"/>
      <c r="G394" s="4"/>
    </row>
    <row r="395" spans="6:7" x14ac:dyDescent="0.2">
      <c r="F395" s="3"/>
      <c r="G395" s="4"/>
    </row>
    <row r="396" spans="6:7" x14ac:dyDescent="0.2">
      <c r="F396" s="3"/>
      <c r="G396" s="4"/>
    </row>
    <row r="397" spans="6:7" x14ac:dyDescent="0.2">
      <c r="F397" s="3"/>
      <c r="G397" s="4"/>
    </row>
    <row r="398" spans="6:7" x14ac:dyDescent="0.2">
      <c r="F398" s="3"/>
      <c r="G398" s="4"/>
    </row>
    <row r="399" spans="6:7" x14ac:dyDescent="0.2">
      <c r="F399" s="3"/>
      <c r="G399" s="4"/>
    </row>
    <row r="400" spans="6:7" x14ac:dyDescent="0.2">
      <c r="F400" s="3"/>
      <c r="G400" s="4"/>
    </row>
    <row r="401" spans="6:7" x14ac:dyDescent="0.2">
      <c r="F401" s="3"/>
      <c r="G401" s="4"/>
    </row>
    <row r="402" spans="6:7" x14ac:dyDescent="0.2">
      <c r="F402" s="3"/>
      <c r="G402" s="4"/>
    </row>
    <row r="403" spans="6:7" x14ac:dyDescent="0.2">
      <c r="F403" s="3"/>
      <c r="G403" s="4"/>
    </row>
    <row r="404" spans="6:7" x14ac:dyDescent="0.2">
      <c r="F404" s="3"/>
      <c r="G404" s="4"/>
    </row>
    <row r="405" spans="6:7" x14ac:dyDescent="0.2">
      <c r="F405" s="3"/>
      <c r="G405" s="4"/>
    </row>
    <row r="406" spans="6:7" x14ac:dyDescent="0.2">
      <c r="F406" s="3"/>
      <c r="G406" s="4"/>
    </row>
    <row r="407" spans="6:7" x14ac:dyDescent="0.2">
      <c r="F407" s="3"/>
      <c r="G407" s="4"/>
    </row>
    <row r="408" spans="6:7" x14ac:dyDescent="0.2">
      <c r="F408" s="3"/>
      <c r="G408" s="4"/>
    </row>
    <row r="409" spans="6:7" x14ac:dyDescent="0.2">
      <c r="F409" s="3"/>
      <c r="G409" s="4"/>
    </row>
    <row r="410" spans="6:7" x14ac:dyDescent="0.2">
      <c r="F410" s="3"/>
      <c r="G410" s="4"/>
    </row>
    <row r="411" spans="6:7" x14ac:dyDescent="0.2">
      <c r="F411" s="3"/>
      <c r="G411" s="4"/>
    </row>
    <row r="412" spans="6:7" x14ac:dyDescent="0.2">
      <c r="F412" s="3"/>
      <c r="G412" s="4"/>
    </row>
    <row r="413" spans="6:7" x14ac:dyDescent="0.2">
      <c r="F413" s="3"/>
      <c r="G413" s="4"/>
    </row>
    <row r="414" spans="6:7" x14ac:dyDescent="0.2">
      <c r="F414" s="3"/>
      <c r="G414" s="4"/>
    </row>
    <row r="415" spans="6:7" x14ac:dyDescent="0.2">
      <c r="F415" s="3"/>
      <c r="G415" s="4"/>
    </row>
    <row r="416" spans="6:7" x14ac:dyDescent="0.2">
      <c r="F416" s="3"/>
      <c r="G416" s="4"/>
    </row>
    <row r="417" spans="6:7" x14ac:dyDescent="0.2">
      <c r="F417" s="3"/>
      <c r="G417" s="4"/>
    </row>
    <row r="418" spans="6:7" x14ac:dyDescent="0.2">
      <c r="F418" s="3"/>
      <c r="G418" s="4"/>
    </row>
    <row r="419" spans="6:7" x14ac:dyDescent="0.2">
      <c r="F419" s="3"/>
      <c r="G419" s="4"/>
    </row>
    <row r="420" spans="6:7" x14ac:dyDescent="0.2">
      <c r="F420" s="3"/>
      <c r="G420" s="4"/>
    </row>
    <row r="421" spans="6:7" x14ac:dyDescent="0.2">
      <c r="F421" s="3"/>
      <c r="G421" s="4"/>
    </row>
    <row r="422" spans="6:7" x14ac:dyDescent="0.2">
      <c r="F422" s="3"/>
      <c r="G422" s="4"/>
    </row>
    <row r="423" spans="6:7" x14ac:dyDescent="0.2">
      <c r="F423" s="3"/>
      <c r="G423" s="4"/>
    </row>
    <row r="424" spans="6:7" x14ac:dyDescent="0.2">
      <c r="F424" s="3"/>
      <c r="G424" s="4"/>
    </row>
    <row r="425" spans="6:7" x14ac:dyDescent="0.2">
      <c r="F425" s="3"/>
      <c r="G425" s="4"/>
    </row>
    <row r="426" spans="6:7" x14ac:dyDescent="0.2">
      <c r="F426" s="3"/>
      <c r="G426" s="4"/>
    </row>
    <row r="427" spans="6:7" x14ac:dyDescent="0.2">
      <c r="F427" s="3"/>
      <c r="G427" s="4"/>
    </row>
    <row r="428" spans="6:7" x14ac:dyDescent="0.2">
      <c r="F428" s="3"/>
      <c r="G428" s="4"/>
    </row>
    <row r="429" spans="6:7" x14ac:dyDescent="0.2">
      <c r="F429" s="3"/>
      <c r="G429" s="4"/>
    </row>
    <row r="430" spans="6:7" x14ac:dyDescent="0.2">
      <c r="F430" s="3"/>
      <c r="G430" s="4"/>
    </row>
    <row r="431" spans="6:7" x14ac:dyDescent="0.2">
      <c r="F431" s="3"/>
      <c r="G431" s="4"/>
    </row>
    <row r="432" spans="6:7" x14ac:dyDescent="0.2">
      <c r="F432" s="3"/>
      <c r="G432" s="4"/>
    </row>
    <row r="433" spans="6:7" x14ac:dyDescent="0.2">
      <c r="F433" s="3"/>
      <c r="G433" s="4"/>
    </row>
    <row r="434" spans="6:7" x14ac:dyDescent="0.2">
      <c r="F434" s="3"/>
      <c r="G434" s="4"/>
    </row>
    <row r="435" spans="6:7" x14ac:dyDescent="0.2">
      <c r="F435" s="3"/>
      <c r="G435" s="4"/>
    </row>
    <row r="436" spans="6:7" x14ac:dyDescent="0.2">
      <c r="F436" s="3"/>
      <c r="G436" s="4"/>
    </row>
    <row r="437" spans="6:7" x14ac:dyDescent="0.2">
      <c r="F437" s="3"/>
      <c r="G437" s="4"/>
    </row>
    <row r="438" spans="6:7" x14ac:dyDescent="0.2">
      <c r="F438" s="3"/>
      <c r="G438" s="4"/>
    </row>
    <row r="439" spans="6:7" x14ac:dyDescent="0.2">
      <c r="F439" s="3"/>
      <c r="G439" s="4"/>
    </row>
    <row r="440" spans="6:7" x14ac:dyDescent="0.2">
      <c r="F440" s="3"/>
      <c r="G440" s="4"/>
    </row>
    <row r="441" spans="6:7" x14ac:dyDescent="0.2">
      <c r="F441" s="3"/>
      <c r="G441" s="4"/>
    </row>
    <row r="442" spans="6:7" x14ac:dyDescent="0.2">
      <c r="F442" s="3"/>
      <c r="G442" s="4"/>
    </row>
    <row r="443" spans="6:7" x14ac:dyDescent="0.2">
      <c r="F443" s="3"/>
      <c r="G443" s="4"/>
    </row>
    <row r="444" spans="6:7" x14ac:dyDescent="0.2">
      <c r="F444" s="3"/>
      <c r="G444" s="4"/>
    </row>
    <row r="445" spans="6:7" x14ac:dyDescent="0.2">
      <c r="F445" s="3"/>
      <c r="G445" s="4"/>
    </row>
    <row r="446" spans="6:7" x14ac:dyDescent="0.2">
      <c r="F446" s="3"/>
      <c r="G446" s="4"/>
    </row>
    <row r="447" spans="6:7" x14ac:dyDescent="0.2">
      <c r="F447" s="3"/>
      <c r="G447" s="4"/>
    </row>
    <row r="448" spans="6:7" x14ac:dyDescent="0.2">
      <c r="F448" s="3"/>
      <c r="G448" s="4"/>
    </row>
    <row r="449" spans="6:7" x14ac:dyDescent="0.2">
      <c r="F449" s="3"/>
      <c r="G449" s="4"/>
    </row>
    <row r="450" spans="6:7" x14ac:dyDescent="0.2">
      <c r="F450" s="3"/>
      <c r="G450" s="4"/>
    </row>
    <row r="451" spans="6:7" x14ac:dyDescent="0.2">
      <c r="F451" s="3"/>
      <c r="G451" s="4"/>
    </row>
    <row r="452" spans="6:7" x14ac:dyDescent="0.2">
      <c r="F452" s="3"/>
      <c r="G452" s="4"/>
    </row>
    <row r="453" spans="6:7" x14ac:dyDescent="0.2">
      <c r="F453" s="3"/>
      <c r="G453" s="4"/>
    </row>
    <row r="454" spans="6:7" x14ac:dyDescent="0.2">
      <c r="F454" s="3"/>
      <c r="G454" s="4"/>
    </row>
    <row r="455" spans="6:7" x14ac:dyDescent="0.2">
      <c r="F455" s="3"/>
      <c r="G455" s="4"/>
    </row>
    <row r="456" spans="6:7" x14ac:dyDescent="0.2">
      <c r="F456" s="3"/>
      <c r="G456" s="4"/>
    </row>
    <row r="457" spans="6:7" x14ac:dyDescent="0.2">
      <c r="F457" s="3"/>
      <c r="G457" s="4"/>
    </row>
    <row r="458" spans="6:7" x14ac:dyDescent="0.2">
      <c r="F458" s="3"/>
      <c r="G458" s="4"/>
    </row>
    <row r="459" spans="6:7" x14ac:dyDescent="0.2">
      <c r="F459" s="3"/>
      <c r="G459" s="4"/>
    </row>
    <row r="460" spans="6:7" x14ac:dyDescent="0.2">
      <c r="F460" s="3"/>
      <c r="G460" s="4"/>
    </row>
    <row r="461" spans="6:7" x14ac:dyDescent="0.2">
      <c r="F461" s="3"/>
      <c r="G461" s="4"/>
    </row>
    <row r="462" spans="6:7" x14ac:dyDescent="0.2">
      <c r="F462" s="3"/>
      <c r="G462" s="4"/>
    </row>
    <row r="463" spans="6:7" x14ac:dyDescent="0.2">
      <c r="F463" s="3"/>
      <c r="G463" s="4"/>
    </row>
    <row r="464" spans="6:7" x14ac:dyDescent="0.2">
      <c r="F464" s="3"/>
      <c r="G464" s="4"/>
    </row>
    <row r="465" spans="6:7" x14ac:dyDescent="0.2">
      <c r="F465" s="3"/>
      <c r="G465" s="4"/>
    </row>
    <row r="466" spans="6:7" x14ac:dyDescent="0.2">
      <c r="F466" s="3"/>
      <c r="G466" s="4"/>
    </row>
    <row r="467" spans="6:7" x14ac:dyDescent="0.2">
      <c r="F467" s="3"/>
      <c r="G467" s="4"/>
    </row>
    <row r="468" spans="6:7" x14ac:dyDescent="0.2">
      <c r="F468" s="3"/>
      <c r="G468" s="4"/>
    </row>
    <row r="469" spans="6:7" x14ac:dyDescent="0.2">
      <c r="F469" s="3"/>
      <c r="G469" s="4"/>
    </row>
    <row r="470" spans="6:7" x14ac:dyDescent="0.2">
      <c r="F470" s="3"/>
      <c r="G470" s="4"/>
    </row>
    <row r="471" spans="6:7" x14ac:dyDescent="0.2">
      <c r="F471" s="3"/>
      <c r="G471" s="4"/>
    </row>
    <row r="472" spans="6:7" x14ac:dyDescent="0.2">
      <c r="F472" s="3"/>
      <c r="G472" s="4"/>
    </row>
    <row r="473" spans="6:7" x14ac:dyDescent="0.2">
      <c r="F473" s="3"/>
      <c r="G473" s="4"/>
    </row>
    <row r="474" spans="6:7" x14ac:dyDescent="0.2">
      <c r="F474" s="3"/>
      <c r="G474" s="4"/>
    </row>
    <row r="475" spans="6:7" x14ac:dyDescent="0.2">
      <c r="F475" s="3"/>
      <c r="G475" s="4"/>
    </row>
    <row r="476" spans="6:7" x14ac:dyDescent="0.2">
      <c r="F476" s="3"/>
      <c r="G476" s="4"/>
    </row>
    <row r="477" spans="6:7" x14ac:dyDescent="0.2">
      <c r="F477" s="3"/>
      <c r="G477" s="4"/>
    </row>
    <row r="478" spans="6:7" x14ac:dyDescent="0.2">
      <c r="F478" s="3"/>
      <c r="G478" s="4"/>
    </row>
    <row r="479" spans="6:7" x14ac:dyDescent="0.2">
      <c r="F479" s="3"/>
      <c r="G479" s="4"/>
    </row>
    <row r="480" spans="6:7" x14ac:dyDescent="0.2">
      <c r="F480" s="3"/>
      <c r="G480" s="4"/>
    </row>
    <row r="481" spans="6:7" x14ac:dyDescent="0.2">
      <c r="F481" s="3"/>
      <c r="G481" s="4"/>
    </row>
    <row r="482" spans="6:7" x14ac:dyDescent="0.2">
      <c r="F482" s="3"/>
      <c r="G482" s="4"/>
    </row>
    <row r="483" spans="6:7" x14ac:dyDescent="0.2">
      <c r="F483" s="3"/>
      <c r="G483" s="4"/>
    </row>
    <row r="484" spans="6:7" x14ac:dyDescent="0.2">
      <c r="F484" s="3"/>
      <c r="G484" s="4"/>
    </row>
    <row r="485" spans="6:7" x14ac:dyDescent="0.2">
      <c r="F485" s="3"/>
      <c r="G485" s="4"/>
    </row>
    <row r="486" spans="6:7" x14ac:dyDescent="0.2">
      <c r="F486" s="3"/>
      <c r="G486" s="4"/>
    </row>
    <row r="487" spans="6:7" x14ac:dyDescent="0.2">
      <c r="F487" s="3"/>
      <c r="G487" s="4"/>
    </row>
    <row r="488" spans="6:7" x14ac:dyDescent="0.2">
      <c r="F488" s="3"/>
      <c r="G488" s="4"/>
    </row>
    <row r="489" spans="6:7" x14ac:dyDescent="0.2">
      <c r="F489" s="3"/>
      <c r="G489" s="4"/>
    </row>
    <row r="490" spans="6:7" x14ac:dyDescent="0.2">
      <c r="F490" s="3"/>
      <c r="G490" s="4"/>
    </row>
    <row r="491" spans="6:7" x14ac:dyDescent="0.2">
      <c r="F491" s="3"/>
      <c r="G491" s="4"/>
    </row>
    <row r="492" spans="6:7" x14ac:dyDescent="0.2">
      <c r="F492" s="3"/>
      <c r="G492" s="4"/>
    </row>
    <row r="493" spans="6:7" x14ac:dyDescent="0.2">
      <c r="F493" s="3"/>
      <c r="G493" s="4"/>
    </row>
    <row r="494" spans="6:7" x14ac:dyDescent="0.2">
      <c r="F494" s="3"/>
      <c r="G494" s="4"/>
    </row>
    <row r="495" spans="6:7" x14ac:dyDescent="0.2">
      <c r="F495" s="3"/>
      <c r="G495" s="4"/>
    </row>
    <row r="496" spans="6:7" x14ac:dyDescent="0.2">
      <c r="F496" s="3"/>
      <c r="G496" s="4"/>
    </row>
    <row r="497" spans="6:7" x14ac:dyDescent="0.2">
      <c r="F497" s="3"/>
      <c r="G497" s="4"/>
    </row>
    <row r="498" spans="6:7" x14ac:dyDescent="0.2">
      <c r="F498" s="3"/>
      <c r="G498" s="4"/>
    </row>
    <row r="499" spans="6:7" x14ac:dyDescent="0.2">
      <c r="F499" s="3"/>
      <c r="G499" s="4"/>
    </row>
    <row r="500" spans="6:7" x14ac:dyDescent="0.2">
      <c r="F500" s="3"/>
      <c r="G500" s="4"/>
    </row>
    <row r="501" spans="6:7" x14ac:dyDescent="0.2">
      <c r="F501" s="3"/>
      <c r="G501" s="4"/>
    </row>
    <row r="502" spans="6:7" x14ac:dyDescent="0.2">
      <c r="F502" s="3"/>
      <c r="G502" s="4"/>
    </row>
    <row r="503" spans="6:7" x14ac:dyDescent="0.2">
      <c r="F503" s="3"/>
      <c r="G503" s="4"/>
    </row>
    <row r="504" spans="6:7" x14ac:dyDescent="0.2">
      <c r="F504" s="3"/>
      <c r="G504" s="4"/>
    </row>
    <row r="505" spans="6:7" x14ac:dyDescent="0.2">
      <c r="F505" s="3"/>
      <c r="G505" s="4"/>
    </row>
    <row r="506" spans="6:7" x14ac:dyDescent="0.2">
      <c r="F506" s="3"/>
      <c r="G506" s="4"/>
    </row>
    <row r="507" spans="6:7" x14ac:dyDescent="0.2">
      <c r="F507" s="3"/>
      <c r="G507" s="4"/>
    </row>
    <row r="508" spans="6:7" x14ac:dyDescent="0.2">
      <c r="F508" s="3"/>
      <c r="G508" s="4"/>
    </row>
    <row r="509" spans="6:7" x14ac:dyDescent="0.2">
      <c r="F509" s="3"/>
      <c r="G509" s="4"/>
    </row>
    <row r="510" spans="6:7" x14ac:dyDescent="0.2">
      <c r="F510" s="3"/>
      <c r="G510" s="4"/>
    </row>
    <row r="511" spans="6:7" x14ac:dyDescent="0.2">
      <c r="F511" s="3"/>
      <c r="G511" s="4"/>
    </row>
    <row r="512" spans="6:7" x14ac:dyDescent="0.2">
      <c r="F512" s="3"/>
      <c r="G512" s="4"/>
    </row>
    <row r="513" spans="6:7" x14ac:dyDescent="0.2">
      <c r="F513" s="3"/>
      <c r="G513" s="4"/>
    </row>
    <row r="514" spans="6:7" x14ac:dyDescent="0.2">
      <c r="F514" s="3"/>
      <c r="G514" s="4"/>
    </row>
    <row r="515" spans="6:7" x14ac:dyDescent="0.2">
      <c r="F515" s="3"/>
      <c r="G515" s="4"/>
    </row>
    <row r="516" spans="6:7" x14ac:dyDescent="0.2">
      <c r="F516" s="3"/>
      <c r="G516" s="4"/>
    </row>
    <row r="517" spans="6:7" x14ac:dyDescent="0.2">
      <c r="F517" s="3"/>
      <c r="G517" s="4"/>
    </row>
    <row r="518" spans="6:7" x14ac:dyDescent="0.2">
      <c r="F518" s="3"/>
      <c r="G518" s="4"/>
    </row>
    <row r="519" spans="6:7" x14ac:dyDescent="0.2">
      <c r="F519" s="3"/>
      <c r="G519" s="4"/>
    </row>
    <row r="520" spans="6:7" x14ac:dyDescent="0.2">
      <c r="F520" s="3"/>
      <c r="G520" s="4"/>
    </row>
    <row r="521" spans="6:7" x14ac:dyDescent="0.2">
      <c r="F521" s="3"/>
      <c r="G521" s="4"/>
    </row>
    <row r="522" spans="6:7" x14ac:dyDescent="0.2">
      <c r="F522" s="3"/>
      <c r="G522" s="4"/>
    </row>
    <row r="523" spans="6:7" x14ac:dyDescent="0.2">
      <c r="F523" s="3"/>
      <c r="G523" s="4"/>
    </row>
    <row r="524" spans="6:7" x14ac:dyDescent="0.2">
      <c r="F524" s="3"/>
      <c r="G524" s="4"/>
    </row>
    <row r="525" spans="6:7" x14ac:dyDescent="0.2">
      <c r="F525" s="3"/>
      <c r="G525" s="4"/>
    </row>
    <row r="526" spans="6:7" x14ac:dyDescent="0.2">
      <c r="F526" s="3"/>
      <c r="G526" s="4"/>
    </row>
    <row r="527" spans="6:7" x14ac:dyDescent="0.2">
      <c r="F527" s="3"/>
      <c r="G527" s="4"/>
    </row>
    <row r="528" spans="6:7" x14ac:dyDescent="0.2">
      <c r="F528" s="3"/>
      <c r="G528" s="4"/>
    </row>
    <row r="529" spans="6:7" x14ac:dyDescent="0.2">
      <c r="F529" s="3"/>
      <c r="G529" s="4"/>
    </row>
    <row r="530" spans="6:7" x14ac:dyDescent="0.2">
      <c r="F530" s="3"/>
      <c r="G530" s="4"/>
    </row>
    <row r="531" spans="6:7" x14ac:dyDescent="0.2">
      <c r="F531" s="3"/>
      <c r="G531" s="4"/>
    </row>
    <row r="532" spans="6:7" x14ac:dyDescent="0.2">
      <c r="F532" s="3"/>
      <c r="G532" s="4"/>
    </row>
    <row r="533" spans="6:7" x14ac:dyDescent="0.2">
      <c r="F533" s="3"/>
      <c r="G533" s="4"/>
    </row>
    <row r="534" spans="6:7" x14ac:dyDescent="0.2">
      <c r="F534" s="3"/>
      <c r="G534" s="4"/>
    </row>
    <row r="535" spans="6:7" x14ac:dyDescent="0.2">
      <c r="F535" s="3"/>
      <c r="G535" s="4"/>
    </row>
    <row r="536" spans="6:7" x14ac:dyDescent="0.2">
      <c r="F536" s="3"/>
      <c r="G536" s="4"/>
    </row>
    <row r="537" spans="6:7" x14ac:dyDescent="0.2">
      <c r="F537" s="3"/>
      <c r="G537" s="4"/>
    </row>
    <row r="538" spans="6:7" x14ac:dyDescent="0.2">
      <c r="F538" s="3"/>
      <c r="G538" s="4"/>
    </row>
    <row r="539" spans="6:7" x14ac:dyDescent="0.2">
      <c r="F539" s="3"/>
      <c r="G539" s="4"/>
    </row>
    <row r="540" spans="6:7" x14ac:dyDescent="0.2">
      <c r="F540" s="3"/>
      <c r="G540" s="4"/>
    </row>
    <row r="541" spans="6:7" x14ac:dyDescent="0.2">
      <c r="F541" s="3"/>
      <c r="G541" s="4"/>
    </row>
    <row r="542" spans="6:7" x14ac:dyDescent="0.2">
      <c r="F542" s="3"/>
      <c r="G542" s="4"/>
    </row>
    <row r="543" spans="6:7" x14ac:dyDescent="0.2">
      <c r="F543" s="3"/>
      <c r="G543" s="4"/>
    </row>
    <row r="544" spans="6:7" x14ac:dyDescent="0.2">
      <c r="F544" s="3"/>
      <c r="G544" s="4"/>
    </row>
    <row r="545" spans="6:7" x14ac:dyDescent="0.2">
      <c r="F545" s="3"/>
      <c r="G545" s="4"/>
    </row>
    <row r="546" spans="6:7" x14ac:dyDescent="0.2">
      <c r="F546" s="3"/>
      <c r="G546" s="4"/>
    </row>
    <row r="547" spans="6:7" x14ac:dyDescent="0.2">
      <c r="F547" s="3"/>
      <c r="G547" s="4"/>
    </row>
    <row r="548" spans="6:7" x14ac:dyDescent="0.2">
      <c r="F548" s="3"/>
      <c r="G548" s="4"/>
    </row>
    <row r="549" spans="6:7" x14ac:dyDescent="0.2">
      <c r="F549" s="3"/>
      <c r="G549" s="4"/>
    </row>
    <row r="550" spans="6:7" x14ac:dyDescent="0.2">
      <c r="F550" s="3"/>
      <c r="G550" s="4"/>
    </row>
    <row r="551" spans="6:7" x14ac:dyDescent="0.2">
      <c r="F551" s="3"/>
      <c r="G551" s="4"/>
    </row>
    <row r="552" spans="6:7" x14ac:dyDescent="0.2">
      <c r="F552" s="3"/>
      <c r="G552" s="4"/>
    </row>
    <row r="553" spans="6:7" x14ac:dyDescent="0.2">
      <c r="F553" s="3"/>
      <c r="G553" s="4"/>
    </row>
    <row r="554" spans="6:7" x14ac:dyDescent="0.2">
      <c r="F554" s="3"/>
      <c r="G554" s="4"/>
    </row>
    <row r="555" spans="6:7" x14ac:dyDescent="0.2">
      <c r="F555" s="3"/>
      <c r="G555" s="4"/>
    </row>
    <row r="556" spans="6:7" x14ac:dyDescent="0.2">
      <c r="F556" s="3"/>
      <c r="G556" s="4"/>
    </row>
    <row r="557" spans="6:7" x14ac:dyDescent="0.2">
      <c r="F557" s="3"/>
      <c r="G557" s="4"/>
    </row>
    <row r="558" spans="6:7" x14ac:dyDescent="0.2">
      <c r="F558" s="3"/>
      <c r="G558" s="4"/>
    </row>
    <row r="559" spans="6:7" x14ac:dyDescent="0.2">
      <c r="F559" s="3"/>
      <c r="G559" s="4"/>
    </row>
    <row r="560" spans="6:7" x14ac:dyDescent="0.2">
      <c r="F560" s="3"/>
      <c r="G560" s="4"/>
    </row>
    <row r="561" spans="6:7" x14ac:dyDescent="0.2">
      <c r="F561" s="3"/>
      <c r="G561" s="4"/>
    </row>
    <row r="562" spans="6:7" x14ac:dyDescent="0.2">
      <c r="F562" s="3"/>
      <c r="G562" s="4"/>
    </row>
    <row r="563" spans="6:7" x14ac:dyDescent="0.2">
      <c r="F563" s="3"/>
      <c r="G563" s="4"/>
    </row>
    <row r="564" spans="6:7" x14ac:dyDescent="0.2">
      <c r="F564" s="3"/>
      <c r="G564" s="4"/>
    </row>
    <row r="565" spans="6:7" x14ac:dyDescent="0.2">
      <c r="F565" s="3"/>
      <c r="G565" s="4"/>
    </row>
    <row r="566" spans="6:7" x14ac:dyDescent="0.2">
      <c r="F566" s="3"/>
      <c r="G566" s="4"/>
    </row>
    <row r="567" spans="6:7" x14ac:dyDescent="0.2">
      <c r="F567" s="3"/>
      <c r="G567" s="4"/>
    </row>
    <row r="568" spans="6:7" x14ac:dyDescent="0.2">
      <c r="F568" s="3"/>
      <c r="G568" s="4"/>
    </row>
    <row r="569" spans="6:7" x14ac:dyDescent="0.2">
      <c r="F569" s="3"/>
      <c r="G569" s="4"/>
    </row>
    <row r="570" spans="6:7" x14ac:dyDescent="0.2">
      <c r="F570" s="3"/>
      <c r="G570" s="4"/>
    </row>
    <row r="571" spans="6:7" x14ac:dyDescent="0.2">
      <c r="F571" s="3"/>
      <c r="G571" s="4"/>
    </row>
    <row r="572" spans="6:7" x14ac:dyDescent="0.2">
      <c r="F572" s="3"/>
      <c r="G572" s="4"/>
    </row>
    <row r="573" spans="6:7" x14ac:dyDescent="0.2">
      <c r="F573" s="3"/>
      <c r="G573" s="4"/>
    </row>
    <row r="574" spans="6:7" x14ac:dyDescent="0.2">
      <c r="F574" s="3"/>
      <c r="G574" s="4"/>
    </row>
    <row r="575" spans="6:7" x14ac:dyDescent="0.2">
      <c r="F575" s="3"/>
      <c r="G575" s="4"/>
    </row>
    <row r="576" spans="6:7" x14ac:dyDescent="0.2">
      <c r="F576" s="3"/>
      <c r="G576" s="4"/>
    </row>
    <row r="577" spans="6:7" x14ac:dyDescent="0.2">
      <c r="F577" s="3"/>
      <c r="G577" s="4"/>
    </row>
    <row r="578" spans="6:7" x14ac:dyDescent="0.2">
      <c r="F578" s="3"/>
      <c r="G578" s="4"/>
    </row>
    <row r="579" spans="6:7" x14ac:dyDescent="0.2">
      <c r="F579" s="3"/>
      <c r="G579" s="4"/>
    </row>
    <row r="580" spans="6:7" x14ac:dyDescent="0.2">
      <c r="F580" s="3"/>
      <c r="G580" s="4"/>
    </row>
    <row r="581" spans="6:7" x14ac:dyDescent="0.2">
      <c r="F581" s="3"/>
      <c r="G581" s="4"/>
    </row>
    <row r="582" spans="6:7" x14ac:dyDescent="0.2">
      <c r="F582" s="3"/>
      <c r="G582" s="4"/>
    </row>
    <row r="583" spans="6:7" x14ac:dyDescent="0.2">
      <c r="F583" s="3"/>
      <c r="G583" s="4"/>
    </row>
    <row r="584" spans="6:7" x14ac:dyDescent="0.2">
      <c r="F584" s="3"/>
      <c r="G584" s="4"/>
    </row>
    <row r="585" spans="6:7" x14ac:dyDescent="0.2">
      <c r="F585" s="3"/>
      <c r="G585" s="4"/>
    </row>
    <row r="586" spans="6:7" x14ac:dyDescent="0.2">
      <c r="F586" s="3"/>
      <c r="G586" s="4"/>
    </row>
    <row r="587" spans="6:7" x14ac:dyDescent="0.2">
      <c r="F587" s="3"/>
      <c r="G587" s="4"/>
    </row>
    <row r="588" spans="6:7" x14ac:dyDescent="0.2">
      <c r="F588" s="3"/>
      <c r="G588" s="4"/>
    </row>
    <row r="589" spans="6:7" x14ac:dyDescent="0.2">
      <c r="F589" s="3"/>
      <c r="G589" s="4"/>
    </row>
    <row r="590" spans="6:7" x14ac:dyDescent="0.2">
      <c r="F590" s="3"/>
      <c r="G590" s="4"/>
    </row>
    <row r="591" spans="6:7" x14ac:dyDescent="0.2">
      <c r="F591" s="3"/>
      <c r="G591" s="4"/>
    </row>
    <row r="592" spans="6:7" x14ac:dyDescent="0.2">
      <c r="F592" s="3"/>
      <c r="G592" s="4"/>
    </row>
    <row r="593" spans="6:7" x14ac:dyDescent="0.2">
      <c r="F593" s="3"/>
      <c r="G593" s="4"/>
    </row>
    <row r="594" spans="6:7" x14ac:dyDescent="0.2">
      <c r="F594" s="3"/>
      <c r="G594" s="4"/>
    </row>
    <row r="595" spans="6:7" x14ac:dyDescent="0.2">
      <c r="F595" s="3"/>
      <c r="G595" s="4"/>
    </row>
    <row r="596" spans="6:7" x14ac:dyDescent="0.2">
      <c r="F596" s="3"/>
      <c r="G596" s="4"/>
    </row>
    <row r="597" spans="6:7" x14ac:dyDescent="0.2">
      <c r="F597" s="3"/>
      <c r="G597" s="4"/>
    </row>
    <row r="598" spans="6:7" x14ac:dyDescent="0.2">
      <c r="F598" s="3"/>
      <c r="G598" s="4"/>
    </row>
    <row r="599" spans="6:7" x14ac:dyDescent="0.2">
      <c r="F599" s="3"/>
      <c r="G599" s="4"/>
    </row>
    <row r="600" spans="6:7" x14ac:dyDescent="0.2">
      <c r="F600" s="3"/>
      <c r="G600" s="4"/>
    </row>
    <row r="601" spans="6:7" x14ac:dyDescent="0.2">
      <c r="F601" s="3"/>
      <c r="G601" s="4"/>
    </row>
    <row r="602" spans="6:7" x14ac:dyDescent="0.2">
      <c r="F602" s="3"/>
      <c r="G602" s="4"/>
    </row>
    <row r="603" spans="6:7" x14ac:dyDescent="0.2">
      <c r="F603" s="3"/>
      <c r="G603" s="4"/>
    </row>
    <row r="604" spans="6:7" x14ac:dyDescent="0.2">
      <c r="F604" s="3"/>
      <c r="G604" s="4"/>
    </row>
    <row r="605" spans="6:7" x14ac:dyDescent="0.2">
      <c r="F605" s="3"/>
      <c r="G605" s="4"/>
    </row>
    <row r="606" spans="6:7" x14ac:dyDescent="0.2">
      <c r="F606" s="3"/>
      <c r="G606" s="4"/>
    </row>
    <row r="607" spans="6:7" x14ac:dyDescent="0.2">
      <c r="F607" s="3"/>
      <c r="G607" s="4"/>
    </row>
    <row r="608" spans="6:7" x14ac:dyDescent="0.2">
      <c r="F608" s="3"/>
      <c r="G608" s="4"/>
    </row>
    <row r="609" spans="6:7" x14ac:dyDescent="0.2">
      <c r="F609" s="3"/>
      <c r="G609" s="4"/>
    </row>
    <row r="610" spans="6:7" x14ac:dyDescent="0.2">
      <c r="F610" s="3"/>
      <c r="G610" s="4"/>
    </row>
    <row r="611" spans="6:7" x14ac:dyDescent="0.2">
      <c r="F611" s="3"/>
      <c r="G611" s="4"/>
    </row>
    <row r="612" spans="6:7" x14ac:dyDescent="0.2">
      <c r="F612" s="3"/>
      <c r="G612" s="4"/>
    </row>
    <row r="613" spans="6:7" x14ac:dyDescent="0.2">
      <c r="F613" s="3"/>
      <c r="G613" s="4"/>
    </row>
    <row r="614" spans="6:7" x14ac:dyDescent="0.2">
      <c r="F614" s="3"/>
      <c r="G614" s="4"/>
    </row>
    <row r="615" spans="6:7" x14ac:dyDescent="0.2">
      <c r="F615" s="3"/>
      <c r="G615" s="4"/>
    </row>
    <row r="616" spans="6:7" x14ac:dyDescent="0.2">
      <c r="F616" s="3"/>
      <c r="G616" s="4"/>
    </row>
    <row r="617" spans="6:7" x14ac:dyDescent="0.2">
      <c r="F617" s="3"/>
      <c r="G617" s="4"/>
    </row>
    <row r="618" spans="6:7" x14ac:dyDescent="0.2">
      <c r="F618" s="3"/>
      <c r="G618" s="4"/>
    </row>
    <row r="619" spans="6:7" x14ac:dyDescent="0.2">
      <c r="F619" s="3"/>
      <c r="G619" s="4"/>
    </row>
    <row r="620" spans="6:7" x14ac:dyDescent="0.2">
      <c r="F620" s="3"/>
      <c r="G620" s="4"/>
    </row>
    <row r="621" spans="6:7" x14ac:dyDescent="0.2">
      <c r="F621" s="3"/>
      <c r="G621" s="4"/>
    </row>
    <row r="622" spans="6:7" x14ac:dyDescent="0.2">
      <c r="F622" s="3"/>
      <c r="G622" s="4"/>
    </row>
    <row r="623" spans="6:7" x14ac:dyDescent="0.2">
      <c r="F623" s="3"/>
      <c r="G623" s="4"/>
    </row>
    <row r="624" spans="6:7" x14ac:dyDescent="0.2">
      <c r="F624" s="3"/>
      <c r="G624" s="4"/>
    </row>
    <row r="625" spans="6:7" x14ac:dyDescent="0.2">
      <c r="F625" s="3"/>
      <c r="G625" s="4"/>
    </row>
    <row r="626" spans="6:7" x14ac:dyDescent="0.2">
      <c r="F626" s="3"/>
      <c r="G626" s="4"/>
    </row>
    <row r="627" spans="6:7" x14ac:dyDescent="0.2">
      <c r="F627" s="3"/>
      <c r="G627" s="4"/>
    </row>
    <row r="628" spans="6:7" x14ac:dyDescent="0.2">
      <c r="F628" s="3"/>
      <c r="G628" s="4"/>
    </row>
    <row r="629" spans="6:7" x14ac:dyDescent="0.2">
      <c r="F629" s="3"/>
      <c r="G629" s="4"/>
    </row>
    <row r="630" spans="6:7" x14ac:dyDescent="0.2">
      <c r="F630" s="3"/>
      <c r="G630" s="4"/>
    </row>
    <row r="631" spans="6:7" x14ac:dyDescent="0.2">
      <c r="F631" s="3"/>
      <c r="G631" s="4"/>
    </row>
    <row r="632" spans="6:7" x14ac:dyDescent="0.2">
      <c r="F632" s="3"/>
      <c r="G632" s="4"/>
    </row>
    <row r="633" spans="6:7" x14ac:dyDescent="0.2">
      <c r="F633" s="3"/>
      <c r="G633" s="4"/>
    </row>
    <row r="634" spans="6:7" x14ac:dyDescent="0.2">
      <c r="F634" s="3"/>
      <c r="G634" s="4"/>
    </row>
    <row r="635" spans="6:7" x14ac:dyDescent="0.2">
      <c r="F635" s="3"/>
      <c r="G635" s="4"/>
    </row>
    <row r="636" spans="6:7" x14ac:dyDescent="0.2">
      <c r="F636" s="3"/>
      <c r="G636" s="4"/>
    </row>
    <row r="637" spans="6:7" x14ac:dyDescent="0.2">
      <c r="F637" s="3"/>
      <c r="G637" s="4"/>
    </row>
    <row r="638" spans="6:7" x14ac:dyDescent="0.2">
      <c r="F638" s="3"/>
      <c r="G638" s="4"/>
    </row>
    <row r="639" spans="6:7" x14ac:dyDescent="0.2">
      <c r="F639" s="3"/>
      <c r="G639" s="4"/>
    </row>
    <row r="640" spans="6:7" x14ac:dyDescent="0.2">
      <c r="F640" s="3"/>
      <c r="G640" s="4"/>
    </row>
    <row r="641" spans="6:7" x14ac:dyDescent="0.2">
      <c r="F641" s="3"/>
      <c r="G641" s="4"/>
    </row>
    <row r="642" spans="6:7" x14ac:dyDescent="0.2">
      <c r="F642" s="3"/>
      <c r="G642" s="4"/>
    </row>
    <row r="643" spans="6:7" x14ac:dyDescent="0.2">
      <c r="F643" s="3"/>
      <c r="G643" s="4"/>
    </row>
    <row r="644" spans="6:7" x14ac:dyDescent="0.2">
      <c r="F644" s="3"/>
      <c r="G644" s="4"/>
    </row>
    <row r="645" spans="6:7" x14ac:dyDescent="0.2">
      <c r="F645" s="3"/>
      <c r="G645" s="4"/>
    </row>
    <row r="646" spans="6:7" x14ac:dyDescent="0.2">
      <c r="F646" s="3"/>
      <c r="G646" s="4"/>
    </row>
    <row r="647" spans="6:7" x14ac:dyDescent="0.2">
      <c r="F647" s="3"/>
      <c r="G647" s="4"/>
    </row>
    <row r="648" spans="6:7" x14ac:dyDescent="0.2">
      <c r="F648" s="3"/>
      <c r="G648" s="4"/>
    </row>
    <row r="649" spans="6:7" x14ac:dyDescent="0.2">
      <c r="F649" s="3"/>
      <c r="G649" s="4"/>
    </row>
    <row r="650" spans="6:7" x14ac:dyDescent="0.2">
      <c r="F650" s="3"/>
      <c r="G650" s="4"/>
    </row>
    <row r="651" spans="6:7" x14ac:dyDescent="0.2">
      <c r="F651" s="3"/>
      <c r="G651" s="4"/>
    </row>
    <row r="652" spans="6:7" x14ac:dyDescent="0.2">
      <c r="F652" s="3"/>
      <c r="G652" s="4"/>
    </row>
    <row r="653" spans="6:7" x14ac:dyDescent="0.2">
      <c r="F653" s="3"/>
      <c r="G653" s="4"/>
    </row>
    <row r="654" spans="6:7" x14ac:dyDescent="0.2">
      <c r="F654" s="3"/>
      <c r="G654" s="4"/>
    </row>
    <row r="655" spans="6:7" x14ac:dyDescent="0.2">
      <c r="F655" s="3"/>
      <c r="G655" s="4"/>
    </row>
    <row r="656" spans="6:7" x14ac:dyDescent="0.2">
      <c r="F656" s="3"/>
      <c r="G656" s="4"/>
    </row>
    <row r="657" spans="6:7" x14ac:dyDescent="0.2">
      <c r="F657" s="3"/>
      <c r="G657" s="4"/>
    </row>
    <row r="658" spans="6:7" x14ac:dyDescent="0.2">
      <c r="F658" s="3"/>
      <c r="G658" s="4"/>
    </row>
  </sheetData>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F9D6C-FF38-49D1-9138-B5898C1491C6}">
  <dimension ref="A1:D13"/>
  <sheetViews>
    <sheetView workbookViewId="0">
      <selection activeCell="C1" sqref="C1"/>
    </sheetView>
  </sheetViews>
  <sheetFormatPr baseColWidth="10" defaultColWidth="8.83203125" defaultRowHeight="15" x14ac:dyDescent="0.2"/>
  <cols>
    <col min="2" max="2" width="19.5" bestFit="1" customWidth="1"/>
    <col min="3" max="3" width="10" customWidth="1"/>
  </cols>
  <sheetData>
    <row r="1" spans="1:4" s="1" customFormat="1" ht="52.5" customHeight="1" x14ac:dyDescent="0.2">
      <c r="A1" s="11"/>
      <c r="C1" s="2"/>
    </row>
    <row r="4" spans="1:4" x14ac:dyDescent="0.2">
      <c r="B4" t="s">
        <v>92</v>
      </c>
      <c r="C4" t="s">
        <v>55</v>
      </c>
      <c r="D4" t="s">
        <v>49</v>
      </c>
    </row>
    <row r="5" spans="1:4" x14ac:dyDescent="0.2">
      <c r="B5" t="s">
        <v>56</v>
      </c>
      <c r="C5" s="12">
        <f>AVERAGE(data[Amount])</f>
        <v>4136.2299999999996</v>
      </c>
      <c r="D5" s="12">
        <f>AVERAGE(data[Units])</f>
        <v>152.19999999999999</v>
      </c>
    </row>
    <row r="6" spans="1:4" x14ac:dyDescent="0.2">
      <c r="B6" t="s">
        <v>57</v>
      </c>
      <c r="C6" s="12">
        <f>MEDIAN(data[Amount])</f>
        <v>3437</v>
      </c>
      <c r="D6" s="12">
        <f>MEDIAN(data[Units])</f>
        <v>124.5</v>
      </c>
    </row>
    <row r="7" spans="1:4" x14ac:dyDescent="0.2">
      <c r="B7" t="s">
        <v>58</v>
      </c>
      <c r="C7" s="12">
        <f>MIN(data[Amount])</f>
        <v>0</v>
      </c>
      <c r="D7" s="12">
        <f>MIN(data[Units])</f>
        <v>0</v>
      </c>
    </row>
    <row r="8" spans="1:4" x14ac:dyDescent="0.2">
      <c r="B8" t="s">
        <v>59</v>
      </c>
      <c r="C8" s="12">
        <f>MAX(data[Amount])</f>
        <v>16184</v>
      </c>
      <c r="D8" s="12">
        <f>MAX(data[Units])</f>
        <v>525</v>
      </c>
    </row>
    <row r="9" spans="1:4" x14ac:dyDescent="0.2">
      <c r="B9" t="s">
        <v>60</v>
      </c>
      <c r="C9" s="12">
        <f>C8-C7</f>
        <v>16184</v>
      </c>
      <c r="D9" s="12">
        <f>D8-D7</f>
        <v>525</v>
      </c>
    </row>
    <row r="10" spans="1:4" x14ac:dyDescent="0.2">
      <c r="B10" t="s">
        <v>62</v>
      </c>
      <c r="C10" s="12">
        <f>_xlfn.PERCENTILE.EXC(data[Amount],0.2)</f>
        <v>1411.2</v>
      </c>
      <c r="D10" s="12">
        <f>_xlfn.PERCENTILE.EXC(data[Units],0.2)</f>
        <v>45</v>
      </c>
    </row>
    <row r="11" spans="1:4" x14ac:dyDescent="0.2">
      <c r="B11" t="s">
        <v>61</v>
      </c>
      <c r="C11" s="12">
        <f>_xlfn.PERCENTILE.EXC(data[Amount],0.75)</f>
        <v>6245.75</v>
      </c>
      <c r="D11" s="12">
        <f>_xlfn.PERCENTILE.EXC(data[Units],0.75)</f>
        <v>223.5</v>
      </c>
    </row>
    <row r="13" spans="1:4" x14ac:dyDescent="0.2">
      <c r="B13" t="s">
        <v>63</v>
      </c>
      <c r="C13">
        <f>COUNTA(_xlfn.UNIQUE(data[Product]))</f>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C5C52-CB6A-467D-8814-9C82F4B7BCCD}">
  <dimension ref="A1:S303"/>
  <sheetViews>
    <sheetView workbookViewId="0">
      <selection activeCell="C1" sqref="C1"/>
    </sheetView>
  </sheetViews>
  <sheetFormatPr baseColWidth="10" defaultColWidth="8.83203125" defaultRowHeight="15" x14ac:dyDescent="0.2"/>
  <cols>
    <col min="3" max="3" width="13.83203125" customWidth="1"/>
    <col min="4" max="4" width="15.6640625" customWidth="1"/>
    <col min="12" max="12" width="17.6640625" customWidth="1"/>
    <col min="13" max="13" width="15.5" customWidth="1"/>
    <col min="14" max="14" width="21.5" customWidth="1"/>
    <col min="15" max="15" width="12.5" style="39" customWidth="1"/>
    <col min="16" max="16" width="13.33203125" customWidth="1"/>
    <col min="17" max="17" width="13.5" customWidth="1"/>
    <col min="19" max="19" width="12" customWidth="1"/>
  </cols>
  <sheetData>
    <row r="1" spans="1:19" s="1" customFormat="1" ht="52.5" customHeight="1" x14ac:dyDescent="0.2">
      <c r="A1" s="11"/>
      <c r="C1" s="2"/>
      <c r="O1" s="38"/>
    </row>
    <row r="3" spans="1:19" x14ac:dyDescent="0.2">
      <c r="L3" t="s">
        <v>11</v>
      </c>
      <c r="M3" t="s">
        <v>12</v>
      </c>
      <c r="N3" t="s">
        <v>0</v>
      </c>
      <c r="O3" s="39" t="s">
        <v>1</v>
      </c>
      <c r="P3" t="s">
        <v>49</v>
      </c>
      <c r="Q3" t="s">
        <v>79</v>
      </c>
      <c r="R3" t="s">
        <v>80</v>
      </c>
      <c r="S3" t="s">
        <v>89</v>
      </c>
    </row>
    <row r="4" spans="1:19" x14ac:dyDescent="0.2">
      <c r="C4" s="35" t="s">
        <v>12</v>
      </c>
      <c r="D4" s="34" t="s">
        <v>11</v>
      </c>
      <c r="L4" t="s">
        <v>5</v>
      </c>
      <c r="M4" t="s">
        <v>37</v>
      </c>
      <c r="N4" t="s">
        <v>31</v>
      </c>
      <c r="O4" s="39">
        <v>182</v>
      </c>
      <c r="P4">
        <v>48</v>
      </c>
      <c r="Q4">
        <v>5.79</v>
      </c>
      <c r="R4">
        <v>277.92</v>
      </c>
      <c r="S4">
        <v>-95.920000000000016</v>
      </c>
    </row>
    <row r="5" spans="1:19" x14ac:dyDescent="0.2">
      <c r="C5" s="37" t="s">
        <v>37</v>
      </c>
      <c r="D5" s="36" t="s">
        <v>5</v>
      </c>
      <c r="L5" t="s">
        <v>8</v>
      </c>
      <c r="M5" t="s">
        <v>38</v>
      </c>
      <c r="N5" t="s">
        <v>22</v>
      </c>
      <c r="O5" s="39">
        <v>168</v>
      </c>
      <c r="P5">
        <v>84</v>
      </c>
      <c r="Q5">
        <v>9.77</v>
      </c>
      <c r="R5">
        <v>820.68</v>
      </c>
      <c r="S5">
        <v>-652.67999999999995</v>
      </c>
    </row>
    <row r="6" spans="1:19" x14ac:dyDescent="0.2">
      <c r="C6" s="37" t="s">
        <v>38</v>
      </c>
      <c r="D6" s="36" t="s">
        <v>8</v>
      </c>
      <c r="L6" t="s">
        <v>41</v>
      </c>
      <c r="M6" t="s">
        <v>38</v>
      </c>
      <c r="N6" t="s">
        <v>25</v>
      </c>
      <c r="O6" s="39">
        <v>154</v>
      </c>
      <c r="P6">
        <v>21</v>
      </c>
      <c r="Q6">
        <v>13.15</v>
      </c>
      <c r="R6">
        <v>276.15000000000003</v>
      </c>
      <c r="S6">
        <v>-122.15000000000003</v>
      </c>
    </row>
    <row r="7" spans="1:19" x14ac:dyDescent="0.2">
      <c r="C7" s="37" t="s">
        <v>36</v>
      </c>
      <c r="D7" s="36" t="s">
        <v>41</v>
      </c>
      <c r="L7" t="s">
        <v>41</v>
      </c>
      <c r="M7" t="s">
        <v>36</v>
      </c>
      <c r="N7" t="s">
        <v>26</v>
      </c>
      <c r="O7" s="39">
        <v>98</v>
      </c>
      <c r="P7">
        <v>204</v>
      </c>
      <c r="Q7">
        <v>5.6</v>
      </c>
      <c r="R7">
        <v>1142.3999999999999</v>
      </c>
      <c r="S7">
        <v>-1044.3999999999999</v>
      </c>
    </row>
    <row r="8" spans="1:19" x14ac:dyDescent="0.2">
      <c r="C8" s="37" t="s">
        <v>35</v>
      </c>
      <c r="D8" s="36" t="s">
        <v>9</v>
      </c>
      <c r="L8" t="s">
        <v>9</v>
      </c>
      <c r="M8" t="s">
        <v>35</v>
      </c>
      <c r="N8" t="s">
        <v>26</v>
      </c>
      <c r="O8" s="39">
        <v>98</v>
      </c>
      <c r="P8">
        <v>159</v>
      </c>
      <c r="Q8">
        <v>5.6</v>
      </c>
      <c r="R8">
        <v>890.4</v>
      </c>
      <c r="S8">
        <v>-792.4</v>
      </c>
    </row>
    <row r="9" spans="1:19" x14ac:dyDescent="0.2">
      <c r="C9" s="37" t="s">
        <v>39</v>
      </c>
      <c r="D9" s="36" t="s">
        <v>10</v>
      </c>
      <c r="L9" t="s">
        <v>10</v>
      </c>
      <c r="M9" t="s">
        <v>38</v>
      </c>
      <c r="N9" t="s">
        <v>13</v>
      </c>
      <c r="O9" s="39">
        <v>63</v>
      </c>
      <c r="P9">
        <v>123</v>
      </c>
      <c r="Q9">
        <v>9.33</v>
      </c>
      <c r="R9">
        <v>1147.5899999999999</v>
      </c>
      <c r="S9">
        <v>-1084.5899999999999</v>
      </c>
    </row>
    <row r="10" spans="1:19" x14ac:dyDescent="0.2">
      <c r="C10" s="37" t="s">
        <v>34</v>
      </c>
      <c r="D10" s="36" t="s">
        <v>2</v>
      </c>
      <c r="L10" t="s">
        <v>2</v>
      </c>
      <c r="M10" t="s">
        <v>38</v>
      </c>
      <c r="N10" t="s">
        <v>13</v>
      </c>
      <c r="O10" s="39">
        <v>56</v>
      </c>
      <c r="P10">
        <v>51</v>
      </c>
      <c r="Q10">
        <v>9.33</v>
      </c>
      <c r="R10">
        <v>475.83</v>
      </c>
      <c r="S10">
        <v>-419.83</v>
      </c>
    </row>
    <row r="11" spans="1:19" x14ac:dyDescent="0.2">
      <c r="D11" s="36" t="s">
        <v>3</v>
      </c>
      <c r="L11" t="s">
        <v>8</v>
      </c>
      <c r="M11" t="s">
        <v>37</v>
      </c>
      <c r="N11" t="s">
        <v>30</v>
      </c>
      <c r="O11" s="39">
        <v>42</v>
      </c>
      <c r="P11">
        <v>150</v>
      </c>
      <c r="Q11">
        <v>14.49</v>
      </c>
      <c r="R11">
        <v>2173.5</v>
      </c>
      <c r="S11">
        <v>-2131.5</v>
      </c>
    </row>
    <row r="12" spans="1:19" x14ac:dyDescent="0.2">
      <c r="D12" s="36" t="s">
        <v>40</v>
      </c>
      <c r="L12" t="s">
        <v>3</v>
      </c>
      <c r="M12" t="s">
        <v>39</v>
      </c>
      <c r="N12" t="s">
        <v>16</v>
      </c>
      <c r="O12" s="39">
        <v>21</v>
      </c>
      <c r="P12">
        <v>168</v>
      </c>
      <c r="Q12">
        <v>8.7899999999999991</v>
      </c>
      <c r="R12">
        <v>1476.7199999999998</v>
      </c>
      <c r="S12">
        <v>-1455.7199999999998</v>
      </c>
    </row>
    <row r="13" spans="1:19" x14ac:dyDescent="0.2">
      <c r="D13" s="36" t="s">
        <v>7</v>
      </c>
      <c r="L13" t="s">
        <v>40</v>
      </c>
      <c r="M13" t="s">
        <v>39</v>
      </c>
      <c r="N13" t="s">
        <v>29</v>
      </c>
      <c r="O13" s="39">
        <v>0</v>
      </c>
      <c r="P13">
        <v>135</v>
      </c>
      <c r="Q13">
        <v>7.16</v>
      </c>
      <c r="R13">
        <v>966.6</v>
      </c>
      <c r="S13">
        <v>-966.6</v>
      </c>
    </row>
    <row r="14" spans="1:19" x14ac:dyDescent="0.2">
      <c r="D14" s="36" t="s">
        <v>6</v>
      </c>
      <c r="L14" t="s">
        <v>2</v>
      </c>
      <c r="M14" t="s">
        <v>36</v>
      </c>
      <c r="N14" t="s">
        <v>16</v>
      </c>
      <c r="O14" s="39">
        <v>11417</v>
      </c>
      <c r="P14">
        <v>21</v>
      </c>
      <c r="Q14">
        <v>8.7899999999999991</v>
      </c>
      <c r="R14">
        <v>184.58999999999997</v>
      </c>
      <c r="S14">
        <v>11232.41</v>
      </c>
    </row>
    <row r="15" spans="1:19" x14ac:dyDescent="0.2">
      <c r="L15" t="s">
        <v>5</v>
      </c>
      <c r="M15" t="s">
        <v>36</v>
      </c>
      <c r="N15" t="s">
        <v>16</v>
      </c>
      <c r="O15" s="39">
        <v>16184</v>
      </c>
      <c r="P15">
        <v>39</v>
      </c>
      <c r="Q15">
        <v>8.7899999999999991</v>
      </c>
      <c r="R15">
        <v>342.80999999999995</v>
      </c>
      <c r="S15">
        <v>15841.19</v>
      </c>
    </row>
    <row r="16" spans="1:19" x14ac:dyDescent="0.2">
      <c r="L16" t="s">
        <v>5</v>
      </c>
      <c r="M16" t="s">
        <v>34</v>
      </c>
      <c r="N16" t="s">
        <v>20</v>
      </c>
      <c r="O16" s="39">
        <v>15610</v>
      </c>
      <c r="P16">
        <v>339</v>
      </c>
      <c r="Q16">
        <v>10.62</v>
      </c>
      <c r="R16">
        <v>3600.18</v>
      </c>
      <c r="S16">
        <v>12009.82</v>
      </c>
    </row>
    <row r="17" spans="12:19" x14ac:dyDescent="0.2">
      <c r="L17" t="s">
        <v>9</v>
      </c>
      <c r="M17" t="s">
        <v>34</v>
      </c>
      <c r="N17" t="s">
        <v>28</v>
      </c>
      <c r="O17" s="39">
        <v>14329</v>
      </c>
      <c r="P17">
        <v>150</v>
      </c>
      <c r="Q17">
        <v>10.38</v>
      </c>
      <c r="R17">
        <v>1557.0000000000002</v>
      </c>
      <c r="S17">
        <v>12772</v>
      </c>
    </row>
    <row r="18" spans="12:19" x14ac:dyDescent="0.2">
      <c r="L18" t="s">
        <v>5</v>
      </c>
      <c r="M18" t="s">
        <v>35</v>
      </c>
      <c r="N18" t="s">
        <v>15</v>
      </c>
      <c r="O18" s="39">
        <v>13391</v>
      </c>
      <c r="P18">
        <v>201</v>
      </c>
      <c r="Q18">
        <v>11.73</v>
      </c>
      <c r="R18">
        <v>2357.73</v>
      </c>
      <c r="S18">
        <v>11033.27</v>
      </c>
    </row>
    <row r="19" spans="12:19" x14ac:dyDescent="0.2">
      <c r="L19" t="s">
        <v>10</v>
      </c>
      <c r="M19" t="s">
        <v>39</v>
      </c>
      <c r="N19" t="s">
        <v>33</v>
      </c>
      <c r="O19" s="39">
        <v>12950</v>
      </c>
      <c r="P19">
        <v>30</v>
      </c>
      <c r="Q19">
        <v>12.37</v>
      </c>
      <c r="R19">
        <v>371.09999999999997</v>
      </c>
      <c r="S19">
        <v>12578.9</v>
      </c>
    </row>
    <row r="20" spans="12:19" x14ac:dyDescent="0.2">
      <c r="L20" t="s">
        <v>40</v>
      </c>
      <c r="M20" t="s">
        <v>35</v>
      </c>
      <c r="N20" t="s">
        <v>32</v>
      </c>
      <c r="O20" s="39">
        <v>12348</v>
      </c>
      <c r="P20">
        <v>234</v>
      </c>
      <c r="Q20">
        <v>8.65</v>
      </c>
      <c r="R20">
        <v>2024.1000000000001</v>
      </c>
      <c r="S20">
        <v>10323.9</v>
      </c>
    </row>
    <row r="21" spans="12:19" x14ac:dyDescent="0.2">
      <c r="L21" t="s">
        <v>2</v>
      </c>
      <c r="M21" t="s">
        <v>37</v>
      </c>
      <c r="N21" t="s">
        <v>18</v>
      </c>
      <c r="O21" s="39">
        <v>11571</v>
      </c>
      <c r="P21">
        <v>138</v>
      </c>
      <c r="Q21">
        <v>6.47</v>
      </c>
      <c r="R21">
        <v>892.86</v>
      </c>
      <c r="S21">
        <v>10678.14</v>
      </c>
    </row>
    <row r="22" spans="12:19" x14ac:dyDescent="0.2">
      <c r="L22" t="s">
        <v>9</v>
      </c>
      <c r="M22" t="s">
        <v>36</v>
      </c>
      <c r="N22" t="s">
        <v>27</v>
      </c>
      <c r="O22" s="39">
        <v>11522</v>
      </c>
      <c r="P22">
        <v>204</v>
      </c>
      <c r="Q22">
        <v>16.73</v>
      </c>
      <c r="R22">
        <v>3412.92</v>
      </c>
      <c r="S22">
        <v>8109.08</v>
      </c>
    </row>
    <row r="23" spans="12:19" x14ac:dyDescent="0.2">
      <c r="L23" t="s">
        <v>41</v>
      </c>
      <c r="M23" t="s">
        <v>36</v>
      </c>
      <c r="N23" t="s">
        <v>13</v>
      </c>
      <c r="O23" s="39">
        <v>10311</v>
      </c>
      <c r="P23">
        <v>231</v>
      </c>
      <c r="Q23">
        <v>9.33</v>
      </c>
      <c r="R23">
        <v>2155.23</v>
      </c>
      <c r="S23">
        <v>8155.77</v>
      </c>
    </row>
    <row r="24" spans="12:19" x14ac:dyDescent="0.2">
      <c r="L24" t="s">
        <v>41</v>
      </c>
      <c r="M24" t="s">
        <v>36</v>
      </c>
      <c r="N24" t="s">
        <v>32</v>
      </c>
      <c r="O24" s="39">
        <v>10304</v>
      </c>
      <c r="P24">
        <v>84</v>
      </c>
      <c r="Q24">
        <v>8.65</v>
      </c>
      <c r="R24">
        <v>726.6</v>
      </c>
      <c r="S24">
        <v>9577.4</v>
      </c>
    </row>
    <row r="25" spans="12:19" x14ac:dyDescent="0.2">
      <c r="L25" t="s">
        <v>7</v>
      </c>
      <c r="M25" t="s">
        <v>38</v>
      </c>
      <c r="N25" t="s">
        <v>30</v>
      </c>
      <c r="O25" s="39">
        <v>10129</v>
      </c>
      <c r="P25">
        <v>312</v>
      </c>
      <c r="Q25">
        <v>14.49</v>
      </c>
      <c r="R25">
        <v>4520.88</v>
      </c>
      <c r="S25">
        <v>5608.12</v>
      </c>
    </row>
    <row r="26" spans="12:19" x14ac:dyDescent="0.2">
      <c r="L26" t="s">
        <v>6</v>
      </c>
      <c r="M26" t="s">
        <v>36</v>
      </c>
      <c r="N26" t="s">
        <v>4</v>
      </c>
      <c r="O26" s="39">
        <v>10073</v>
      </c>
      <c r="P26">
        <v>120</v>
      </c>
      <c r="Q26">
        <v>11.88</v>
      </c>
      <c r="R26">
        <v>1425.6000000000001</v>
      </c>
      <c r="S26">
        <v>8647.4</v>
      </c>
    </row>
    <row r="27" spans="12:19" x14ac:dyDescent="0.2">
      <c r="L27" t="s">
        <v>2</v>
      </c>
      <c r="M27" t="s">
        <v>37</v>
      </c>
      <c r="N27" t="s">
        <v>17</v>
      </c>
      <c r="O27" s="39">
        <v>9926</v>
      </c>
      <c r="P27">
        <v>201</v>
      </c>
      <c r="Q27">
        <v>3.11</v>
      </c>
      <c r="R27">
        <v>625.11</v>
      </c>
      <c r="S27">
        <v>9300.89</v>
      </c>
    </row>
    <row r="28" spans="12:19" x14ac:dyDescent="0.2">
      <c r="L28" t="s">
        <v>7</v>
      </c>
      <c r="M28" t="s">
        <v>37</v>
      </c>
      <c r="N28" t="s">
        <v>22</v>
      </c>
      <c r="O28" s="39">
        <v>9835</v>
      </c>
      <c r="P28">
        <v>207</v>
      </c>
      <c r="Q28">
        <v>9.77</v>
      </c>
      <c r="R28">
        <v>2022.3899999999999</v>
      </c>
      <c r="S28">
        <v>7812.6100000000006</v>
      </c>
    </row>
    <row r="29" spans="12:19" x14ac:dyDescent="0.2">
      <c r="L29" t="s">
        <v>40</v>
      </c>
      <c r="M29" t="s">
        <v>36</v>
      </c>
      <c r="N29" t="s">
        <v>33</v>
      </c>
      <c r="O29" s="39">
        <v>9772</v>
      </c>
      <c r="P29">
        <v>90</v>
      </c>
      <c r="Q29">
        <v>12.37</v>
      </c>
      <c r="R29">
        <v>1113.3</v>
      </c>
      <c r="S29">
        <v>8658.7000000000007</v>
      </c>
    </row>
    <row r="30" spans="12:19" x14ac:dyDescent="0.2">
      <c r="L30" t="s">
        <v>8</v>
      </c>
      <c r="M30" t="s">
        <v>37</v>
      </c>
      <c r="N30" t="s">
        <v>15</v>
      </c>
      <c r="O30" s="39">
        <v>9709</v>
      </c>
      <c r="P30">
        <v>30</v>
      </c>
      <c r="Q30">
        <v>11.73</v>
      </c>
      <c r="R30">
        <v>351.90000000000003</v>
      </c>
      <c r="S30">
        <v>9357.1</v>
      </c>
    </row>
    <row r="31" spans="12:19" x14ac:dyDescent="0.2">
      <c r="L31" t="s">
        <v>8</v>
      </c>
      <c r="M31" t="s">
        <v>39</v>
      </c>
      <c r="N31" t="s">
        <v>18</v>
      </c>
      <c r="O31" s="39">
        <v>9660</v>
      </c>
      <c r="P31">
        <v>27</v>
      </c>
      <c r="Q31">
        <v>6.47</v>
      </c>
      <c r="R31">
        <v>174.69</v>
      </c>
      <c r="S31">
        <v>9485.31</v>
      </c>
    </row>
    <row r="32" spans="12:19" x14ac:dyDescent="0.2">
      <c r="L32" t="s">
        <v>41</v>
      </c>
      <c r="M32" t="s">
        <v>36</v>
      </c>
      <c r="N32" t="s">
        <v>18</v>
      </c>
      <c r="O32" s="39">
        <v>9632</v>
      </c>
      <c r="P32">
        <v>288</v>
      </c>
      <c r="Q32">
        <v>6.47</v>
      </c>
      <c r="R32">
        <v>1863.36</v>
      </c>
      <c r="S32">
        <v>7768.64</v>
      </c>
    </row>
    <row r="33" spans="12:19" x14ac:dyDescent="0.2">
      <c r="L33" t="s">
        <v>9</v>
      </c>
      <c r="M33" t="s">
        <v>38</v>
      </c>
      <c r="N33" t="s">
        <v>33</v>
      </c>
      <c r="O33" s="39">
        <v>9506</v>
      </c>
      <c r="P33">
        <v>87</v>
      </c>
      <c r="Q33">
        <v>12.37</v>
      </c>
      <c r="R33">
        <v>1076.1899999999998</v>
      </c>
      <c r="S33">
        <v>8429.81</v>
      </c>
    </row>
    <row r="34" spans="12:19" x14ac:dyDescent="0.2">
      <c r="L34" t="s">
        <v>2</v>
      </c>
      <c r="M34" t="s">
        <v>39</v>
      </c>
      <c r="N34" t="s">
        <v>20</v>
      </c>
      <c r="O34" s="39">
        <v>9443</v>
      </c>
      <c r="P34">
        <v>162</v>
      </c>
      <c r="Q34">
        <v>10.62</v>
      </c>
      <c r="R34">
        <v>1720.4399999999998</v>
      </c>
      <c r="S34">
        <v>7722.56</v>
      </c>
    </row>
    <row r="35" spans="12:19" x14ac:dyDescent="0.2">
      <c r="L35" t="s">
        <v>3</v>
      </c>
      <c r="M35" t="s">
        <v>36</v>
      </c>
      <c r="N35" t="s">
        <v>16</v>
      </c>
      <c r="O35" s="39">
        <v>9198</v>
      </c>
      <c r="P35">
        <v>36</v>
      </c>
      <c r="Q35">
        <v>8.7899999999999991</v>
      </c>
      <c r="R35">
        <v>316.43999999999994</v>
      </c>
      <c r="S35">
        <v>8881.56</v>
      </c>
    </row>
    <row r="36" spans="12:19" x14ac:dyDescent="0.2">
      <c r="L36" t="s">
        <v>9</v>
      </c>
      <c r="M36" t="s">
        <v>36</v>
      </c>
      <c r="N36" t="s">
        <v>30</v>
      </c>
      <c r="O36" s="39">
        <v>9051</v>
      </c>
      <c r="P36">
        <v>57</v>
      </c>
      <c r="Q36">
        <v>14.49</v>
      </c>
      <c r="R36">
        <v>825.93000000000006</v>
      </c>
      <c r="S36">
        <v>8225.07</v>
      </c>
    </row>
    <row r="37" spans="12:19" x14ac:dyDescent="0.2">
      <c r="L37" t="s">
        <v>40</v>
      </c>
      <c r="M37" t="s">
        <v>37</v>
      </c>
      <c r="N37" t="s">
        <v>29</v>
      </c>
      <c r="O37" s="39">
        <v>9002</v>
      </c>
      <c r="P37">
        <v>72</v>
      </c>
      <c r="Q37">
        <v>7.16</v>
      </c>
      <c r="R37">
        <v>515.52</v>
      </c>
      <c r="S37">
        <v>8486.48</v>
      </c>
    </row>
    <row r="38" spans="12:19" x14ac:dyDescent="0.2">
      <c r="L38" t="s">
        <v>8</v>
      </c>
      <c r="M38" t="s">
        <v>39</v>
      </c>
      <c r="N38" t="s">
        <v>31</v>
      </c>
      <c r="O38" s="39">
        <v>8890</v>
      </c>
      <c r="P38">
        <v>210</v>
      </c>
      <c r="Q38">
        <v>5.79</v>
      </c>
      <c r="R38">
        <v>1215.9000000000001</v>
      </c>
      <c r="S38">
        <v>7674.1</v>
      </c>
    </row>
    <row r="39" spans="12:19" x14ac:dyDescent="0.2">
      <c r="L39" t="s">
        <v>40</v>
      </c>
      <c r="M39" t="s">
        <v>35</v>
      </c>
      <c r="N39" t="s">
        <v>33</v>
      </c>
      <c r="O39" s="39">
        <v>8869</v>
      </c>
      <c r="P39">
        <v>432</v>
      </c>
      <c r="Q39">
        <v>12.37</v>
      </c>
      <c r="R39">
        <v>5343.8399999999992</v>
      </c>
      <c r="S39">
        <v>3525.1600000000008</v>
      </c>
    </row>
    <row r="40" spans="12:19" x14ac:dyDescent="0.2">
      <c r="L40" t="s">
        <v>7</v>
      </c>
      <c r="M40" t="s">
        <v>34</v>
      </c>
      <c r="N40" t="s">
        <v>24</v>
      </c>
      <c r="O40" s="39">
        <v>8862</v>
      </c>
      <c r="P40">
        <v>189</v>
      </c>
      <c r="Q40">
        <v>4.97</v>
      </c>
      <c r="R40">
        <v>939.32999999999993</v>
      </c>
      <c r="S40">
        <v>7922.67</v>
      </c>
    </row>
    <row r="41" spans="12:19" x14ac:dyDescent="0.2">
      <c r="L41" t="s">
        <v>3</v>
      </c>
      <c r="M41" t="s">
        <v>38</v>
      </c>
      <c r="N41" t="s">
        <v>26</v>
      </c>
      <c r="O41" s="39">
        <v>8841</v>
      </c>
      <c r="P41">
        <v>303</v>
      </c>
      <c r="Q41">
        <v>5.6</v>
      </c>
      <c r="R41">
        <v>1696.8</v>
      </c>
      <c r="S41">
        <v>7144.2</v>
      </c>
    </row>
    <row r="42" spans="12:19" x14ac:dyDescent="0.2">
      <c r="L42" t="s">
        <v>5</v>
      </c>
      <c r="M42" t="s">
        <v>37</v>
      </c>
      <c r="N42" t="s">
        <v>25</v>
      </c>
      <c r="O42" s="39">
        <v>8813</v>
      </c>
      <c r="P42">
        <v>21</v>
      </c>
      <c r="Q42">
        <v>13.15</v>
      </c>
      <c r="R42">
        <v>276.15000000000003</v>
      </c>
      <c r="S42">
        <v>8536.85</v>
      </c>
    </row>
    <row r="43" spans="12:19" x14ac:dyDescent="0.2">
      <c r="L43" t="s">
        <v>9</v>
      </c>
      <c r="M43" t="s">
        <v>34</v>
      </c>
      <c r="N43" t="s">
        <v>20</v>
      </c>
      <c r="O43" s="39">
        <v>8463</v>
      </c>
      <c r="P43">
        <v>492</v>
      </c>
      <c r="Q43">
        <v>10.62</v>
      </c>
      <c r="R43">
        <v>5225.04</v>
      </c>
      <c r="S43">
        <v>3237.96</v>
      </c>
    </row>
    <row r="44" spans="12:19" x14ac:dyDescent="0.2">
      <c r="L44" t="s">
        <v>7</v>
      </c>
      <c r="M44" t="s">
        <v>36</v>
      </c>
      <c r="N44" t="s">
        <v>22</v>
      </c>
      <c r="O44" s="39">
        <v>8435</v>
      </c>
      <c r="P44">
        <v>42</v>
      </c>
      <c r="Q44">
        <v>9.77</v>
      </c>
      <c r="R44">
        <v>410.34</v>
      </c>
      <c r="S44">
        <v>8024.66</v>
      </c>
    </row>
    <row r="45" spans="12:19" x14ac:dyDescent="0.2">
      <c r="L45" t="s">
        <v>2</v>
      </c>
      <c r="M45" t="s">
        <v>36</v>
      </c>
      <c r="N45" t="s">
        <v>29</v>
      </c>
      <c r="O45" s="39">
        <v>8211</v>
      </c>
      <c r="P45">
        <v>75</v>
      </c>
      <c r="Q45">
        <v>7.16</v>
      </c>
      <c r="R45">
        <v>537</v>
      </c>
      <c r="S45">
        <v>7674</v>
      </c>
    </row>
    <row r="46" spans="12:19" x14ac:dyDescent="0.2">
      <c r="L46" t="s">
        <v>9</v>
      </c>
      <c r="M46" t="s">
        <v>34</v>
      </c>
      <c r="N46" t="s">
        <v>23</v>
      </c>
      <c r="O46" s="39">
        <v>8155</v>
      </c>
      <c r="P46">
        <v>90</v>
      </c>
      <c r="Q46">
        <v>6.49</v>
      </c>
      <c r="R46">
        <v>584.1</v>
      </c>
      <c r="S46">
        <v>7570.9</v>
      </c>
    </row>
    <row r="47" spans="12:19" x14ac:dyDescent="0.2">
      <c r="L47" t="s">
        <v>6</v>
      </c>
      <c r="M47" t="s">
        <v>34</v>
      </c>
      <c r="N47" t="s">
        <v>26</v>
      </c>
      <c r="O47" s="39">
        <v>8008</v>
      </c>
      <c r="P47">
        <v>456</v>
      </c>
      <c r="Q47">
        <v>5.6</v>
      </c>
      <c r="R47">
        <v>2553.6</v>
      </c>
      <c r="S47">
        <v>5454.4</v>
      </c>
    </row>
    <row r="48" spans="12:19" x14ac:dyDescent="0.2">
      <c r="L48" t="s">
        <v>41</v>
      </c>
      <c r="M48" t="s">
        <v>34</v>
      </c>
      <c r="N48" t="s">
        <v>33</v>
      </c>
      <c r="O48" s="39">
        <v>7847</v>
      </c>
      <c r="P48">
        <v>174</v>
      </c>
      <c r="Q48">
        <v>12.37</v>
      </c>
      <c r="R48">
        <v>2152.3799999999997</v>
      </c>
      <c r="S48">
        <v>5694.6200000000008</v>
      </c>
    </row>
    <row r="49" spans="12:19" x14ac:dyDescent="0.2">
      <c r="L49" t="s">
        <v>9</v>
      </c>
      <c r="M49" t="s">
        <v>35</v>
      </c>
      <c r="N49" t="s">
        <v>15</v>
      </c>
      <c r="O49" s="39">
        <v>7833</v>
      </c>
      <c r="P49">
        <v>243</v>
      </c>
      <c r="Q49">
        <v>11.73</v>
      </c>
      <c r="R49">
        <v>2850.3900000000003</v>
      </c>
      <c r="S49">
        <v>4982.6099999999997</v>
      </c>
    </row>
    <row r="50" spans="12:19" x14ac:dyDescent="0.2">
      <c r="L50" t="s">
        <v>2</v>
      </c>
      <c r="M50" t="s">
        <v>39</v>
      </c>
      <c r="N50" t="s">
        <v>27</v>
      </c>
      <c r="O50" s="39">
        <v>7812</v>
      </c>
      <c r="P50">
        <v>81</v>
      </c>
      <c r="Q50">
        <v>16.73</v>
      </c>
      <c r="R50">
        <v>1355.13</v>
      </c>
      <c r="S50">
        <v>6456.87</v>
      </c>
    </row>
    <row r="51" spans="12:19" x14ac:dyDescent="0.2">
      <c r="L51" t="s">
        <v>3</v>
      </c>
      <c r="M51" t="s">
        <v>34</v>
      </c>
      <c r="N51" t="s">
        <v>32</v>
      </c>
      <c r="O51" s="39">
        <v>7777</v>
      </c>
      <c r="P51">
        <v>504</v>
      </c>
      <c r="Q51">
        <v>8.65</v>
      </c>
      <c r="R51">
        <v>4359.6000000000004</v>
      </c>
      <c r="S51">
        <v>3417.3999999999996</v>
      </c>
    </row>
    <row r="52" spans="12:19" x14ac:dyDescent="0.2">
      <c r="L52" t="s">
        <v>7</v>
      </c>
      <c r="M52" t="s">
        <v>34</v>
      </c>
      <c r="N52" t="s">
        <v>17</v>
      </c>
      <c r="O52" s="39">
        <v>7777</v>
      </c>
      <c r="P52">
        <v>39</v>
      </c>
      <c r="Q52">
        <v>3.11</v>
      </c>
      <c r="R52">
        <v>121.28999999999999</v>
      </c>
      <c r="S52">
        <v>7655.71</v>
      </c>
    </row>
    <row r="53" spans="12:19" x14ac:dyDescent="0.2">
      <c r="L53" t="s">
        <v>6</v>
      </c>
      <c r="M53" t="s">
        <v>37</v>
      </c>
      <c r="N53" t="s">
        <v>31</v>
      </c>
      <c r="O53" s="39">
        <v>7693</v>
      </c>
      <c r="P53">
        <v>87</v>
      </c>
      <c r="Q53">
        <v>5.79</v>
      </c>
      <c r="R53">
        <v>503.73</v>
      </c>
      <c r="S53">
        <v>7189.27</v>
      </c>
    </row>
    <row r="54" spans="12:19" x14ac:dyDescent="0.2">
      <c r="L54" t="s">
        <v>40</v>
      </c>
      <c r="M54" t="s">
        <v>37</v>
      </c>
      <c r="N54" t="s">
        <v>19</v>
      </c>
      <c r="O54" s="39">
        <v>7693</v>
      </c>
      <c r="P54">
        <v>21</v>
      </c>
      <c r="Q54">
        <v>7.64</v>
      </c>
      <c r="R54">
        <v>160.44</v>
      </c>
      <c r="S54">
        <v>7532.56</v>
      </c>
    </row>
    <row r="55" spans="12:19" x14ac:dyDescent="0.2">
      <c r="L55" t="s">
        <v>2</v>
      </c>
      <c r="M55" t="s">
        <v>39</v>
      </c>
      <c r="N55" t="s">
        <v>21</v>
      </c>
      <c r="O55" s="39">
        <v>7651</v>
      </c>
      <c r="P55">
        <v>213</v>
      </c>
      <c r="Q55">
        <v>9</v>
      </c>
      <c r="R55">
        <v>1917</v>
      </c>
      <c r="S55">
        <v>5734</v>
      </c>
    </row>
    <row r="56" spans="12:19" x14ac:dyDescent="0.2">
      <c r="L56" t="s">
        <v>2</v>
      </c>
      <c r="M56" t="s">
        <v>34</v>
      </c>
      <c r="N56" t="s">
        <v>19</v>
      </c>
      <c r="O56" s="39">
        <v>7511</v>
      </c>
      <c r="P56">
        <v>120</v>
      </c>
      <c r="Q56">
        <v>7.64</v>
      </c>
      <c r="R56">
        <v>916.8</v>
      </c>
      <c r="S56">
        <v>6594.2</v>
      </c>
    </row>
    <row r="57" spans="12:19" x14ac:dyDescent="0.2">
      <c r="L57" t="s">
        <v>5</v>
      </c>
      <c r="M57" t="s">
        <v>38</v>
      </c>
      <c r="N57" t="s">
        <v>25</v>
      </c>
      <c r="O57" s="39">
        <v>7483</v>
      </c>
      <c r="P57">
        <v>45</v>
      </c>
      <c r="Q57">
        <v>13.15</v>
      </c>
      <c r="R57">
        <v>591.75</v>
      </c>
      <c r="S57">
        <v>6891.25</v>
      </c>
    </row>
    <row r="58" spans="12:19" x14ac:dyDescent="0.2">
      <c r="L58" t="s">
        <v>41</v>
      </c>
      <c r="M58" t="s">
        <v>35</v>
      </c>
      <c r="N58" t="s">
        <v>28</v>
      </c>
      <c r="O58" s="39">
        <v>7455</v>
      </c>
      <c r="P58">
        <v>216</v>
      </c>
      <c r="Q58">
        <v>10.38</v>
      </c>
      <c r="R58">
        <v>2242.0800000000004</v>
      </c>
      <c r="S58">
        <v>5212.92</v>
      </c>
    </row>
    <row r="59" spans="12:19" x14ac:dyDescent="0.2">
      <c r="L59" t="s">
        <v>6</v>
      </c>
      <c r="M59" t="s">
        <v>38</v>
      </c>
      <c r="N59" t="s">
        <v>21</v>
      </c>
      <c r="O59" s="39">
        <v>7322</v>
      </c>
      <c r="P59">
        <v>36</v>
      </c>
      <c r="Q59">
        <v>9</v>
      </c>
      <c r="R59">
        <v>324</v>
      </c>
      <c r="S59">
        <v>6998</v>
      </c>
    </row>
    <row r="60" spans="12:19" x14ac:dyDescent="0.2">
      <c r="L60" t="s">
        <v>3</v>
      </c>
      <c r="M60" t="s">
        <v>37</v>
      </c>
      <c r="N60" t="s">
        <v>28</v>
      </c>
      <c r="O60" s="39">
        <v>7308</v>
      </c>
      <c r="P60">
        <v>327</v>
      </c>
      <c r="Q60">
        <v>10.38</v>
      </c>
      <c r="R60">
        <v>3394.26</v>
      </c>
      <c r="S60">
        <v>3913.74</v>
      </c>
    </row>
    <row r="61" spans="12:19" x14ac:dyDescent="0.2">
      <c r="L61" t="s">
        <v>5</v>
      </c>
      <c r="M61" t="s">
        <v>34</v>
      </c>
      <c r="N61" t="s">
        <v>15</v>
      </c>
      <c r="O61" s="39">
        <v>7280</v>
      </c>
      <c r="P61">
        <v>201</v>
      </c>
      <c r="Q61">
        <v>11.73</v>
      </c>
      <c r="R61">
        <v>2357.73</v>
      </c>
      <c r="S61">
        <v>4922.2700000000004</v>
      </c>
    </row>
    <row r="62" spans="12:19" x14ac:dyDescent="0.2">
      <c r="L62" t="s">
        <v>9</v>
      </c>
      <c r="M62" t="s">
        <v>37</v>
      </c>
      <c r="N62" t="s">
        <v>20</v>
      </c>
      <c r="O62" s="39">
        <v>7273</v>
      </c>
      <c r="P62">
        <v>96</v>
      </c>
      <c r="Q62">
        <v>10.62</v>
      </c>
      <c r="R62">
        <v>1019.52</v>
      </c>
      <c r="S62">
        <v>6253.48</v>
      </c>
    </row>
    <row r="63" spans="12:19" x14ac:dyDescent="0.2">
      <c r="L63" t="s">
        <v>3</v>
      </c>
      <c r="M63" t="s">
        <v>34</v>
      </c>
      <c r="N63" t="s">
        <v>14</v>
      </c>
      <c r="O63" s="39">
        <v>7259</v>
      </c>
      <c r="P63">
        <v>276</v>
      </c>
      <c r="Q63">
        <v>11.7</v>
      </c>
      <c r="R63">
        <v>3229.2</v>
      </c>
      <c r="S63">
        <v>4029.8</v>
      </c>
    </row>
    <row r="64" spans="12:19" x14ac:dyDescent="0.2">
      <c r="L64" t="s">
        <v>5</v>
      </c>
      <c r="M64" t="s">
        <v>38</v>
      </c>
      <c r="N64" t="s">
        <v>13</v>
      </c>
      <c r="O64" s="39">
        <v>7189</v>
      </c>
      <c r="P64">
        <v>54</v>
      </c>
      <c r="Q64">
        <v>9.33</v>
      </c>
      <c r="R64">
        <v>503.82</v>
      </c>
      <c r="S64">
        <v>6685.18</v>
      </c>
    </row>
    <row r="65" spans="12:19" x14ac:dyDescent="0.2">
      <c r="L65" t="s">
        <v>8</v>
      </c>
      <c r="M65" t="s">
        <v>39</v>
      </c>
      <c r="N65" t="s">
        <v>30</v>
      </c>
      <c r="O65" s="39">
        <v>7021</v>
      </c>
      <c r="P65">
        <v>183</v>
      </c>
      <c r="Q65">
        <v>14.49</v>
      </c>
      <c r="R65">
        <v>2651.67</v>
      </c>
      <c r="S65">
        <v>4369.33</v>
      </c>
    </row>
    <row r="66" spans="12:19" x14ac:dyDescent="0.2">
      <c r="L66" t="s">
        <v>5</v>
      </c>
      <c r="M66" t="s">
        <v>34</v>
      </c>
      <c r="N66" t="s">
        <v>27</v>
      </c>
      <c r="O66" s="39">
        <v>6986</v>
      </c>
      <c r="P66">
        <v>21</v>
      </c>
      <c r="Q66">
        <v>16.73</v>
      </c>
      <c r="R66">
        <v>351.33</v>
      </c>
      <c r="S66">
        <v>6634.67</v>
      </c>
    </row>
    <row r="67" spans="12:19" x14ac:dyDescent="0.2">
      <c r="L67" t="s">
        <v>5</v>
      </c>
      <c r="M67" t="s">
        <v>39</v>
      </c>
      <c r="N67" t="s">
        <v>22</v>
      </c>
      <c r="O67" s="39">
        <v>6909</v>
      </c>
      <c r="P67">
        <v>81</v>
      </c>
      <c r="Q67">
        <v>9.77</v>
      </c>
      <c r="R67">
        <v>791.37</v>
      </c>
      <c r="S67">
        <v>6117.63</v>
      </c>
    </row>
    <row r="68" spans="12:19" x14ac:dyDescent="0.2">
      <c r="L68" t="s">
        <v>10</v>
      </c>
      <c r="M68" t="s">
        <v>38</v>
      </c>
      <c r="N68" t="s">
        <v>4</v>
      </c>
      <c r="O68" s="39">
        <v>6860</v>
      </c>
      <c r="P68">
        <v>126</v>
      </c>
      <c r="Q68">
        <v>11.88</v>
      </c>
      <c r="R68">
        <v>1496.88</v>
      </c>
      <c r="S68">
        <v>5363.12</v>
      </c>
    </row>
    <row r="69" spans="12:19" x14ac:dyDescent="0.2">
      <c r="L69" t="s">
        <v>40</v>
      </c>
      <c r="M69" t="s">
        <v>35</v>
      </c>
      <c r="N69" t="s">
        <v>22</v>
      </c>
      <c r="O69" s="39">
        <v>6853</v>
      </c>
      <c r="P69">
        <v>372</v>
      </c>
      <c r="Q69">
        <v>9.77</v>
      </c>
      <c r="R69">
        <v>3634.44</v>
      </c>
      <c r="S69">
        <v>3218.56</v>
      </c>
    </row>
    <row r="70" spans="12:19" x14ac:dyDescent="0.2">
      <c r="L70" t="s">
        <v>9</v>
      </c>
      <c r="M70" t="s">
        <v>34</v>
      </c>
      <c r="N70" t="s">
        <v>21</v>
      </c>
      <c r="O70" s="39">
        <v>6832</v>
      </c>
      <c r="P70">
        <v>27</v>
      </c>
      <c r="Q70">
        <v>9</v>
      </c>
      <c r="R70">
        <v>243</v>
      </c>
      <c r="S70">
        <v>6589</v>
      </c>
    </row>
    <row r="71" spans="12:19" x14ac:dyDescent="0.2">
      <c r="L71" t="s">
        <v>6</v>
      </c>
      <c r="M71" t="s">
        <v>37</v>
      </c>
      <c r="N71" t="s">
        <v>26</v>
      </c>
      <c r="O71" s="39">
        <v>6818</v>
      </c>
      <c r="P71">
        <v>6</v>
      </c>
      <c r="Q71">
        <v>5.6</v>
      </c>
      <c r="R71">
        <v>33.599999999999994</v>
      </c>
      <c r="S71">
        <v>6784.4</v>
      </c>
    </row>
    <row r="72" spans="12:19" x14ac:dyDescent="0.2">
      <c r="L72" t="s">
        <v>7</v>
      </c>
      <c r="M72" t="s">
        <v>35</v>
      </c>
      <c r="N72" t="s">
        <v>30</v>
      </c>
      <c r="O72" s="39">
        <v>6755</v>
      </c>
      <c r="P72">
        <v>252</v>
      </c>
      <c r="Q72">
        <v>14.49</v>
      </c>
      <c r="R72">
        <v>3651.48</v>
      </c>
      <c r="S72">
        <v>3103.52</v>
      </c>
    </row>
    <row r="73" spans="12:19" x14ac:dyDescent="0.2">
      <c r="L73" t="s">
        <v>40</v>
      </c>
      <c r="M73" t="s">
        <v>34</v>
      </c>
      <c r="N73" t="s">
        <v>26</v>
      </c>
      <c r="O73" s="39">
        <v>6748</v>
      </c>
      <c r="P73">
        <v>48</v>
      </c>
      <c r="Q73">
        <v>5.6</v>
      </c>
      <c r="R73">
        <v>268.79999999999995</v>
      </c>
      <c r="S73">
        <v>6479.2</v>
      </c>
    </row>
    <row r="74" spans="12:19" x14ac:dyDescent="0.2">
      <c r="L74" t="s">
        <v>6</v>
      </c>
      <c r="M74" t="s">
        <v>34</v>
      </c>
      <c r="N74" t="s">
        <v>32</v>
      </c>
      <c r="O74" s="39">
        <v>6734</v>
      </c>
      <c r="P74">
        <v>123</v>
      </c>
      <c r="Q74">
        <v>8.65</v>
      </c>
      <c r="R74">
        <v>1063.95</v>
      </c>
      <c r="S74">
        <v>5670.05</v>
      </c>
    </row>
    <row r="75" spans="12:19" x14ac:dyDescent="0.2">
      <c r="L75" t="s">
        <v>8</v>
      </c>
      <c r="M75" t="s">
        <v>35</v>
      </c>
      <c r="N75" t="s">
        <v>32</v>
      </c>
      <c r="O75" s="39">
        <v>6706</v>
      </c>
      <c r="P75">
        <v>459</v>
      </c>
      <c r="Q75">
        <v>8.65</v>
      </c>
      <c r="R75">
        <v>3970.3500000000004</v>
      </c>
      <c r="S75">
        <v>2735.6499999999996</v>
      </c>
    </row>
    <row r="76" spans="12:19" x14ac:dyDescent="0.2">
      <c r="L76" t="s">
        <v>10</v>
      </c>
      <c r="M76" t="s">
        <v>36</v>
      </c>
      <c r="N76" t="s">
        <v>32</v>
      </c>
      <c r="O76" s="39">
        <v>6657</v>
      </c>
      <c r="P76">
        <v>303</v>
      </c>
      <c r="Q76">
        <v>8.65</v>
      </c>
      <c r="R76">
        <v>2620.9500000000003</v>
      </c>
      <c r="S76">
        <v>4036.0499999999997</v>
      </c>
    </row>
    <row r="77" spans="12:19" x14ac:dyDescent="0.2">
      <c r="L77" t="s">
        <v>3</v>
      </c>
      <c r="M77" t="s">
        <v>35</v>
      </c>
      <c r="N77" t="s">
        <v>15</v>
      </c>
      <c r="O77" s="39">
        <v>6657</v>
      </c>
      <c r="P77">
        <v>276</v>
      </c>
      <c r="Q77">
        <v>11.73</v>
      </c>
      <c r="R77">
        <v>3237.48</v>
      </c>
      <c r="S77">
        <v>3419.52</v>
      </c>
    </row>
    <row r="78" spans="12:19" x14ac:dyDescent="0.2">
      <c r="L78" t="s">
        <v>7</v>
      </c>
      <c r="M78" t="s">
        <v>37</v>
      </c>
      <c r="N78" t="s">
        <v>14</v>
      </c>
      <c r="O78" s="39">
        <v>6608</v>
      </c>
      <c r="P78">
        <v>225</v>
      </c>
      <c r="Q78">
        <v>11.7</v>
      </c>
      <c r="R78">
        <v>2632.5</v>
      </c>
      <c r="S78">
        <v>3975.5</v>
      </c>
    </row>
    <row r="79" spans="12:19" x14ac:dyDescent="0.2">
      <c r="L79" t="s">
        <v>2</v>
      </c>
      <c r="M79" t="s">
        <v>38</v>
      </c>
      <c r="N79" t="s">
        <v>28</v>
      </c>
      <c r="O79" s="39">
        <v>6580</v>
      </c>
      <c r="P79">
        <v>183</v>
      </c>
      <c r="Q79">
        <v>10.38</v>
      </c>
      <c r="R79">
        <v>1899.5400000000002</v>
      </c>
      <c r="S79">
        <v>4680.46</v>
      </c>
    </row>
    <row r="80" spans="12:19" x14ac:dyDescent="0.2">
      <c r="L80" t="s">
        <v>7</v>
      </c>
      <c r="M80" t="s">
        <v>37</v>
      </c>
      <c r="N80" t="s">
        <v>30</v>
      </c>
      <c r="O80" s="39">
        <v>6454</v>
      </c>
      <c r="P80">
        <v>54</v>
      </c>
      <c r="Q80">
        <v>14.49</v>
      </c>
      <c r="R80">
        <v>782.46</v>
      </c>
      <c r="S80">
        <v>5671.54</v>
      </c>
    </row>
    <row r="81" spans="12:19" x14ac:dyDescent="0.2">
      <c r="L81" t="s">
        <v>8</v>
      </c>
      <c r="M81" t="s">
        <v>38</v>
      </c>
      <c r="N81" t="s">
        <v>21</v>
      </c>
      <c r="O81" s="39">
        <v>6433</v>
      </c>
      <c r="P81">
        <v>78</v>
      </c>
      <c r="Q81">
        <v>9</v>
      </c>
      <c r="R81">
        <v>702</v>
      </c>
      <c r="S81">
        <v>5731</v>
      </c>
    </row>
    <row r="82" spans="12:19" x14ac:dyDescent="0.2">
      <c r="L82" t="s">
        <v>41</v>
      </c>
      <c r="M82" t="s">
        <v>37</v>
      </c>
      <c r="N82" t="s">
        <v>24</v>
      </c>
      <c r="O82" s="39">
        <v>6398</v>
      </c>
      <c r="P82">
        <v>102</v>
      </c>
      <c r="Q82">
        <v>4.97</v>
      </c>
      <c r="R82">
        <v>506.94</v>
      </c>
      <c r="S82">
        <v>5891.06</v>
      </c>
    </row>
    <row r="83" spans="12:19" x14ac:dyDescent="0.2">
      <c r="L83" t="s">
        <v>7</v>
      </c>
      <c r="M83" t="s">
        <v>37</v>
      </c>
      <c r="N83" t="s">
        <v>33</v>
      </c>
      <c r="O83" s="39">
        <v>6391</v>
      </c>
      <c r="P83">
        <v>48</v>
      </c>
      <c r="Q83">
        <v>12.37</v>
      </c>
      <c r="R83">
        <v>593.76</v>
      </c>
      <c r="S83">
        <v>5797.24</v>
      </c>
    </row>
    <row r="84" spans="12:19" x14ac:dyDescent="0.2">
      <c r="L84" t="s">
        <v>40</v>
      </c>
      <c r="M84" t="s">
        <v>39</v>
      </c>
      <c r="N84" t="s">
        <v>27</v>
      </c>
      <c r="O84" s="39">
        <v>6370</v>
      </c>
      <c r="P84">
        <v>30</v>
      </c>
      <c r="Q84">
        <v>16.73</v>
      </c>
      <c r="R84">
        <v>501.90000000000003</v>
      </c>
      <c r="S84">
        <v>5868.1</v>
      </c>
    </row>
    <row r="85" spans="12:19" x14ac:dyDescent="0.2">
      <c r="L85" t="s">
        <v>5</v>
      </c>
      <c r="M85" t="s">
        <v>36</v>
      </c>
      <c r="N85" t="s">
        <v>23</v>
      </c>
      <c r="O85" s="39">
        <v>6314</v>
      </c>
      <c r="P85">
        <v>15</v>
      </c>
      <c r="Q85">
        <v>6.49</v>
      </c>
      <c r="R85">
        <v>97.350000000000009</v>
      </c>
      <c r="S85">
        <v>6216.65</v>
      </c>
    </row>
    <row r="86" spans="12:19" x14ac:dyDescent="0.2">
      <c r="L86" t="s">
        <v>3</v>
      </c>
      <c r="M86" t="s">
        <v>34</v>
      </c>
      <c r="N86" t="s">
        <v>25</v>
      </c>
      <c r="O86" s="39">
        <v>6300</v>
      </c>
      <c r="P86">
        <v>42</v>
      </c>
      <c r="Q86">
        <v>13.15</v>
      </c>
      <c r="R86">
        <v>552.30000000000007</v>
      </c>
      <c r="S86">
        <v>5747.7</v>
      </c>
    </row>
    <row r="87" spans="12:19" x14ac:dyDescent="0.2">
      <c r="L87" t="s">
        <v>5</v>
      </c>
      <c r="M87" t="s">
        <v>34</v>
      </c>
      <c r="N87" t="s">
        <v>22</v>
      </c>
      <c r="O87" s="39">
        <v>6279</v>
      </c>
      <c r="P87">
        <v>237</v>
      </c>
      <c r="Q87">
        <v>9.77</v>
      </c>
      <c r="R87">
        <v>2315.4899999999998</v>
      </c>
      <c r="S87">
        <v>3963.51</v>
      </c>
    </row>
    <row r="88" spans="12:19" x14ac:dyDescent="0.2">
      <c r="L88" t="s">
        <v>8</v>
      </c>
      <c r="M88" t="s">
        <v>37</v>
      </c>
      <c r="N88" t="s">
        <v>26</v>
      </c>
      <c r="O88" s="39">
        <v>6279</v>
      </c>
      <c r="P88">
        <v>45</v>
      </c>
      <c r="Q88">
        <v>5.6</v>
      </c>
      <c r="R88">
        <v>251.99999999999997</v>
      </c>
      <c r="S88">
        <v>6027</v>
      </c>
    </row>
    <row r="89" spans="12:19" x14ac:dyDescent="0.2">
      <c r="L89" t="s">
        <v>5</v>
      </c>
      <c r="M89" t="s">
        <v>36</v>
      </c>
      <c r="N89" t="s">
        <v>13</v>
      </c>
      <c r="O89" s="39">
        <v>6146</v>
      </c>
      <c r="P89">
        <v>63</v>
      </c>
      <c r="Q89">
        <v>9.33</v>
      </c>
      <c r="R89">
        <v>587.79</v>
      </c>
      <c r="S89">
        <v>5558.21</v>
      </c>
    </row>
    <row r="90" spans="12:19" x14ac:dyDescent="0.2">
      <c r="L90" t="s">
        <v>40</v>
      </c>
      <c r="M90" t="s">
        <v>37</v>
      </c>
      <c r="N90" t="s">
        <v>27</v>
      </c>
      <c r="O90" s="39">
        <v>6132</v>
      </c>
      <c r="P90">
        <v>93</v>
      </c>
      <c r="Q90">
        <v>16.73</v>
      </c>
      <c r="R90">
        <v>1555.89</v>
      </c>
      <c r="S90">
        <v>4576.1099999999997</v>
      </c>
    </row>
    <row r="91" spans="12:19" x14ac:dyDescent="0.2">
      <c r="L91" t="s">
        <v>40</v>
      </c>
      <c r="M91" t="s">
        <v>38</v>
      </c>
      <c r="N91" t="s">
        <v>4</v>
      </c>
      <c r="O91" s="39">
        <v>6125</v>
      </c>
      <c r="P91">
        <v>102</v>
      </c>
      <c r="Q91">
        <v>11.88</v>
      </c>
      <c r="R91">
        <v>1211.76</v>
      </c>
      <c r="S91">
        <v>4913.24</v>
      </c>
    </row>
    <row r="92" spans="12:19" x14ac:dyDescent="0.2">
      <c r="L92" t="s">
        <v>6</v>
      </c>
      <c r="M92" t="s">
        <v>36</v>
      </c>
      <c r="N92" t="s">
        <v>32</v>
      </c>
      <c r="O92" s="39">
        <v>6118</v>
      </c>
      <c r="P92">
        <v>9</v>
      </c>
      <c r="Q92">
        <v>8.65</v>
      </c>
      <c r="R92">
        <v>77.850000000000009</v>
      </c>
      <c r="S92">
        <v>6040.15</v>
      </c>
    </row>
    <row r="93" spans="12:19" x14ac:dyDescent="0.2">
      <c r="L93" t="s">
        <v>41</v>
      </c>
      <c r="M93" t="s">
        <v>36</v>
      </c>
      <c r="N93" t="s">
        <v>30</v>
      </c>
      <c r="O93" s="39">
        <v>6118</v>
      </c>
      <c r="P93">
        <v>174</v>
      </c>
      <c r="Q93">
        <v>14.49</v>
      </c>
      <c r="R93">
        <v>2521.2600000000002</v>
      </c>
      <c r="S93">
        <v>3596.74</v>
      </c>
    </row>
    <row r="94" spans="12:19" x14ac:dyDescent="0.2">
      <c r="L94" t="s">
        <v>5</v>
      </c>
      <c r="M94" t="s">
        <v>36</v>
      </c>
      <c r="N94" t="s">
        <v>18</v>
      </c>
      <c r="O94" s="39">
        <v>6111</v>
      </c>
      <c r="P94">
        <v>3</v>
      </c>
      <c r="Q94">
        <v>6.47</v>
      </c>
      <c r="R94">
        <v>19.41</v>
      </c>
      <c r="S94">
        <v>6091.59</v>
      </c>
    </row>
    <row r="95" spans="12:19" x14ac:dyDescent="0.2">
      <c r="L95" t="s">
        <v>6</v>
      </c>
      <c r="M95" t="s">
        <v>39</v>
      </c>
      <c r="N95" t="s">
        <v>17</v>
      </c>
      <c r="O95" s="39">
        <v>6048</v>
      </c>
      <c r="P95">
        <v>27</v>
      </c>
      <c r="Q95">
        <v>3.11</v>
      </c>
      <c r="R95">
        <v>83.97</v>
      </c>
      <c r="S95">
        <v>5964.03</v>
      </c>
    </row>
    <row r="96" spans="12:19" x14ac:dyDescent="0.2">
      <c r="L96" t="s">
        <v>2</v>
      </c>
      <c r="M96" t="s">
        <v>39</v>
      </c>
      <c r="N96" t="s">
        <v>28</v>
      </c>
      <c r="O96" s="39">
        <v>6027</v>
      </c>
      <c r="P96">
        <v>144</v>
      </c>
      <c r="Q96">
        <v>10.38</v>
      </c>
      <c r="R96">
        <v>1494.72</v>
      </c>
      <c r="S96">
        <v>4532.28</v>
      </c>
    </row>
    <row r="97" spans="12:19" x14ac:dyDescent="0.2">
      <c r="L97" t="s">
        <v>41</v>
      </c>
      <c r="M97" t="s">
        <v>38</v>
      </c>
      <c r="N97" t="s">
        <v>22</v>
      </c>
      <c r="O97" s="39">
        <v>5915</v>
      </c>
      <c r="P97">
        <v>3</v>
      </c>
      <c r="Q97">
        <v>9.77</v>
      </c>
      <c r="R97">
        <v>29.31</v>
      </c>
      <c r="S97">
        <v>5885.69</v>
      </c>
    </row>
    <row r="98" spans="12:19" x14ac:dyDescent="0.2">
      <c r="L98" t="s">
        <v>40</v>
      </c>
      <c r="M98" t="s">
        <v>39</v>
      </c>
      <c r="N98" t="s">
        <v>22</v>
      </c>
      <c r="O98" s="39">
        <v>5817</v>
      </c>
      <c r="P98">
        <v>12</v>
      </c>
      <c r="Q98">
        <v>9.77</v>
      </c>
      <c r="R98">
        <v>117.24</v>
      </c>
      <c r="S98">
        <v>5699.76</v>
      </c>
    </row>
    <row r="99" spans="12:19" x14ac:dyDescent="0.2">
      <c r="L99" t="s">
        <v>40</v>
      </c>
      <c r="M99" t="s">
        <v>39</v>
      </c>
      <c r="N99" t="s">
        <v>15</v>
      </c>
      <c r="O99" s="39">
        <v>5775</v>
      </c>
      <c r="P99">
        <v>42</v>
      </c>
      <c r="Q99">
        <v>11.73</v>
      </c>
      <c r="R99">
        <v>492.66</v>
      </c>
      <c r="S99">
        <v>5282.34</v>
      </c>
    </row>
    <row r="100" spans="12:19" x14ac:dyDescent="0.2">
      <c r="L100" t="s">
        <v>7</v>
      </c>
      <c r="M100" t="s">
        <v>38</v>
      </c>
      <c r="N100" t="s">
        <v>28</v>
      </c>
      <c r="O100" s="39">
        <v>5677</v>
      </c>
      <c r="P100">
        <v>258</v>
      </c>
      <c r="Q100">
        <v>10.38</v>
      </c>
      <c r="R100">
        <v>2678.0400000000004</v>
      </c>
      <c r="S100">
        <v>2998.9599999999996</v>
      </c>
    </row>
    <row r="101" spans="12:19" x14ac:dyDescent="0.2">
      <c r="L101" t="s">
        <v>40</v>
      </c>
      <c r="M101" t="s">
        <v>38</v>
      </c>
      <c r="N101" t="s">
        <v>13</v>
      </c>
      <c r="O101" s="39">
        <v>5670</v>
      </c>
      <c r="P101">
        <v>297</v>
      </c>
      <c r="Q101">
        <v>9.33</v>
      </c>
      <c r="R101">
        <v>2771.01</v>
      </c>
      <c r="S101">
        <v>2898.99</v>
      </c>
    </row>
    <row r="102" spans="12:19" x14ac:dyDescent="0.2">
      <c r="L102" t="s">
        <v>10</v>
      </c>
      <c r="M102" t="s">
        <v>38</v>
      </c>
      <c r="N102" t="s">
        <v>14</v>
      </c>
      <c r="O102" s="39">
        <v>5586</v>
      </c>
      <c r="P102">
        <v>525</v>
      </c>
      <c r="Q102">
        <v>11.7</v>
      </c>
      <c r="R102">
        <v>6142.5</v>
      </c>
      <c r="S102">
        <v>-556.5</v>
      </c>
    </row>
    <row r="103" spans="12:19" x14ac:dyDescent="0.2">
      <c r="L103" t="s">
        <v>7</v>
      </c>
      <c r="M103" t="s">
        <v>36</v>
      </c>
      <c r="N103" t="s">
        <v>29</v>
      </c>
      <c r="O103" s="39">
        <v>5551</v>
      </c>
      <c r="P103">
        <v>252</v>
      </c>
      <c r="Q103">
        <v>7.16</v>
      </c>
      <c r="R103">
        <v>1804.32</v>
      </c>
      <c r="S103">
        <v>3746.6800000000003</v>
      </c>
    </row>
    <row r="104" spans="12:19" x14ac:dyDescent="0.2">
      <c r="L104" t="s">
        <v>5</v>
      </c>
      <c r="M104" t="s">
        <v>38</v>
      </c>
      <c r="N104" t="s">
        <v>19</v>
      </c>
      <c r="O104" s="39">
        <v>5474</v>
      </c>
      <c r="P104">
        <v>168</v>
      </c>
      <c r="Q104">
        <v>7.64</v>
      </c>
      <c r="R104">
        <v>1283.52</v>
      </c>
      <c r="S104">
        <v>4190.4799999999996</v>
      </c>
    </row>
    <row r="105" spans="12:19" x14ac:dyDescent="0.2">
      <c r="L105" t="s">
        <v>40</v>
      </c>
      <c r="M105" t="s">
        <v>36</v>
      </c>
      <c r="N105" t="s">
        <v>25</v>
      </c>
      <c r="O105" s="39">
        <v>5439</v>
      </c>
      <c r="P105">
        <v>30</v>
      </c>
      <c r="Q105">
        <v>13.15</v>
      </c>
      <c r="R105">
        <v>394.5</v>
      </c>
      <c r="S105">
        <v>5044.5</v>
      </c>
    </row>
    <row r="106" spans="12:19" x14ac:dyDescent="0.2">
      <c r="L106" t="s">
        <v>10</v>
      </c>
      <c r="M106" t="s">
        <v>34</v>
      </c>
      <c r="N106" t="s">
        <v>19</v>
      </c>
      <c r="O106" s="39">
        <v>5355</v>
      </c>
      <c r="P106">
        <v>204</v>
      </c>
      <c r="Q106">
        <v>7.64</v>
      </c>
      <c r="R106">
        <v>1558.56</v>
      </c>
      <c r="S106">
        <v>3796.44</v>
      </c>
    </row>
    <row r="107" spans="12:19" x14ac:dyDescent="0.2">
      <c r="L107" t="s">
        <v>7</v>
      </c>
      <c r="M107" t="s">
        <v>37</v>
      </c>
      <c r="N107" t="s">
        <v>26</v>
      </c>
      <c r="O107" s="39">
        <v>5306</v>
      </c>
      <c r="P107">
        <v>0</v>
      </c>
      <c r="Q107">
        <v>5.6</v>
      </c>
      <c r="R107">
        <v>0</v>
      </c>
      <c r="S107">
        <v>5306</v>
      </c>
    </row>
    <row r="108" spans="12:19" x14ac:dyDescent="0.2">
      <c r="L108" t="s">
        <v>5</v>
      </c>
      <c r="M108" t="s">
        <v>39</v>
      </c>
      <c r="N108" t="s">
        <v>26</v>
      </c>
      <c r="O108" s="39">
        <v>5236</v>
      </c>
      <c r="P108">
        <v>51</v>
      </c>
      <c r="Q108">
        <v>5.6</v>
      </c>
      <c r="R108">
        <v>285.59999999999997</v>
      </c>
      <c r="S108">
        <v>4950.3999999999996</v>
      </c>
    </row>
    <row r="109" spans="12:19" x14ac:dyDescent="0.2">
      <c r="L109" t="s">
        <v>7</v>
      </c>
      <c r="M109" t="s">
        <v>35</v>
      </c>
      <c r="N109" t="s">
        <v>28</v>
      </c>
      <c r="O109" s="39">
        <v>5194</v>
      </c>
      <c r="P109">
        <v>288</v>
      </c>
      <c r="Q109">
        <v>10.38</v>
      </c>
      <c r="R109">
        <v>2989.44</v>
      </c>
      <c r="S109">
        <v>2204.56</v>
      </c>
    </row>
    <row r="110" spans="12:19" x14ac:dyDescent="0.2">
      <c r="L110" t="s">
        <v>5</v>
      </c>
      <c r="M110" t="s">
        <v>38</v>
      </c>
      <c r="N110" t="s">
        <v>32</v>
      </c>
      <c r="O110" s="39">
        <v>5075</v>
      </c>
      <c r="P110">
        <v>21</v>
      </c>
      <c r="Q110">
        <v>8.65</v>
      </c>
      <c r="R110">
        <v>181.65</v>
      </c>
      <c r="S110">
        <v>4893.3500000000004</v>
      </c>
    </row>
    <row r="111" spans="12:19" x14ac:dyDescent="0.2">
      <c r="L111" t="s">
        <v>40</v>
      </c>
      <c r="M111" t="s">
        <v>34</v>
      </c>
      <c r="N111" t="s">
        <v>17</v>
      </c>
      <c r="O111" s="39">
        <v>5019</v>
      </c>
      <c r="P111">
        <v>156</v>
      </c>
      <c r="Q111">
        <v>3.11</v>
      </c>
      <c r="R111">
        <v>485.15999999999997</v>
      </c>
      <c r="S111">
        <v>4533.84</v>
      </c>
    </row>
    <row r="112" spans="12:19" x14ac:dyDescent="0.2">
      <c r="L112" t="s">
        <v>8</v>
      </c>
      <c r="M112" t="s">
        <v>36</v>
      </c>
      <c r="N112" t="s">
        <v>23</v>
      </c>
      <c r="O112" s="39">
        <v>5019</v>
      </c>
      <c r="P112">
        <v>150</v>
      </c>
      <c r="Q112">
        <v>6.49</v>
      </c>
      <c r="R112">
        <v>973.5</v>
      </c>
      <c r="S112">
        <v>4045.5</v>
      </c>
    </row>
    <row r="113" spans="12:19" x14ac:dyDescent="0.2">
      <c r="L113" t="s">
        <v>8</v>
      </c>
      <c r="M113" t="s">
        <v>35</v>
      </c>
      <c r="N113" t="s">
        <v>22</v>
      </c>
      <c r="O113" s="39">
        <v>5012</v>
      </c>
      <c r="P113">
        <v>210</v>
      </c>
      <c r="Q113">
        <v>9.77</v>
      </c>
      <c r="R113">
        <v>2051.6999999999998</v>
      </c>
      <c r="S113">
        <v>2960.3</v>
      </c>
    </row>
    <row r="114" spans="12:19" x14ac:dyDescent="0.2">
      <c r="L114" t="s">
        <v>10</v>
      </c>
      <c r="M114" t="s">
        <v>34</v>
      </c>
      <c r="N114" t="s">
        <v>26</v>
      </c>
      <c r="O114" s="39">
        <v>4991</v>
      </c>
      <c r="P114">
        <v>9</v>
      </c>
      <c r="Q114">
        <v>5.6</v>
      </c>
      <c r="R114">
        <v>50.4</v>
      </c>
      <c r="S114">
        <v>4940.6000000000004</v>
      </c>
    </row>
    <row r="115" spans="12:19" x14ac:dyDescent="0.2">
      <c r="L115" t="s">
        <v>5</v>
      </c>
      <c r="M115" t="s">
        <v>37</v>
      </c>
      <c r="N115" t="s">
        <v>14</v>
      </c>
      <c r="O115" s="39">
        <v>4991</v>
      </c>
      <c r="P115">
        <v>12</v>
      </c>
      <c r="Q115">
        <v>11.7</v>
      </c>
      <c r="R115">
        <v>140.39999999999998</v>
      </c>
      <c r="S115">
        <v>4850.6000000000004</v>
      </c>
    </row>
    <row r="116" spans="12:19" x14ac:dyDescent="0.2">
      <c r="L116" t="s">
        <v>6</v>
      </c>
      <c r="M116" t="s">
        <v>36</v>
      </c>
      <c r="N116" t="s">
        <v>17</v>
      </c>
      <c r="O116" s="39">
        <v>4970</v>
      </c>
      <c r="P116">
        <v>156</v>
      </c>
      <c r="Q116">
        <v>3.11</v>
      </c>
      <c r="R116">
        <v>485.15999999999997</v>
      </c>
      <c r="S116">
        <v>4484.84</v>
      </c>
    </row>
    <row r="117" spans="12:19" x14ac:dyDescent="0.2">
      <c r="L117" t="s">
        <v>3</v>
      </c>
      <c r="M117" t="s">
        <v>39</v>
      </c>
      <c r="N117" t="s">
        <v>26</v>
      </c>
      <c r="O117" s="39">
        <v>4956</v>
      </c>
      <c r="P117">
        <v>171</v>
      </c>
      <c r="Q117">
        <v>5.6</v>
      </c>
      <c r="R117">
        <v>957.59999999999991</v>
      </c>
      <c r="S117">
        <v>3998.4</v>
      </c>
    </row>
    <row r="118" spans="12:19" x14ac:dyDescent="0.2">
      <c r="L118" t="s">
        <v>6</v>
      </c>
      <c r="M118" t="s">
        <v>37</v>
      </c>
      <c r="N118" t="s">
        <v>23</v>
      </c>
      <c r="O118" s="39">
        <v>4949</v>
      </c>
      <c r="P118">
        <v>189</v>
      </c>
      <c r="Q118">
        <v>6.49</v>
      </c>
      <c r="R118">
        <v>1226.6100000000001</v>
      </c>
      <c r="S118">
        <v>3722.39</v>
      </c>
    </row>
    <row r="119" spans="12:19" x14ac:dyDescent="0.2">
      <c r="L119" t="s">
        <v>41</v>
      </c>
      <c r="M119" t="s">
        <v>34</v>
      </c>
      <c r="N119" t="s">
        <v>23</v>
      </c>
      <c r="O119" s="39">
        <v>4935</v>
      </c>
      <c r="P119">
        <v>126</v>
      </c>
      <c r="Q119">
        <v>6.49</v>
      </c>
      <c r="R119">
        <v>817.74</v>
      </c>
      <c r="S119">
        <v>4117.26</v>
      </c>
    </row>
    <row r="120" spans="12:19" x14ac:dyDescent="0.2">
      <c r="L120" t="s">
        <v>10</v>
      </c>
      <c r="M120" t="s">
        <v>39</v>
      </c>
      <c r="N120" t="s">
        <v>21</v>
      </c>
      <c r="O120" s="39">
        <v>4858</v>
      </c>
      <c r="P120">
        <v>279</v>
      </c>
      <c r="Q120">
        <v>9</v>
      </c>
      <c r="R120">
        <v>2511</v>
      </c>
      <c r="S120">
        <v>2347</v>
      </c>
    </row>
    <row r="121" spans="12:19" x14ac:dyDescent="0.2">
      <c r="L121" t="s">
        <v>2</v>
      </c>
      <c r="M121" t="s">
        <v>39</v>
      </c>
      <c r="N121" t="s">
        <v>15</v>
      </c>
      <c r="O121" s="39">
        <v>4802</v>
      </c>
      <c r="P121">
        <v>36</v>
      </c>
      <c r="Q121">
        <v>11.73</v>
      </c>
      <c r="R121">
        <v>422.28000000000003</v>
      </c>
      <c r="S121">
        <v>4379.72</v>
      </c>
    </row>
    <row r="122" spans="12:19" x14ac:dyDescent="0.2">
      <c r="L122" t="s">
        <v>6</v>
      </c>
      <c r="M122" t="s">
        <v>35</v>
      </c>
      <c r="N122" t="s">
        <v>30</v>
      </c>
      <c r="O122" s="39">
        <v>4781</v>
      </c>
      <c r="P122">
        <v>123</v>
      </c>
      <c r="Q122">
        <v>14.49</v>
      </c>
      <c r="R122">
        <v>1782.27</v>
      </c>
      <c r="S122">
        <v>2998.73</v>
      </c>
    </row>
    <row r="123" spans="12:19" x14ac:dyDescent="0.2">
      <c r="L123" t="s">
        <v>41</v>
      </c>
      <c r="M123" t="s">
        <v>35</v>
      </c>
      <c r="N123" t="s">
        <v>13</v>
      </c>
      <c r="O123" s="39">
        <v>4760</v>
      </c>
      <c r="P123">
        <v>69</v>
      </c>
      <c r="Q123">
        <v>9.33</v>
      </c>
      <c r="R123">
        <v>643.77</v>
      </c>
      <c r="S123">
        <v>4116.2299999999996</v>
      </c>
    </row>
    <row r="124" spans="12:19" x14ac:dyDescent="0.2">
      <c r="L124" t="s">
        <v>8</v>
      </c>
      <c r="M124" t="s">
        <v>35</v>
      </c>
      <c r="N124" t="s">
        <v>27</v>
      </c>
      <c r="O124" s="39">
        <v>4753</v>
      </c>
      <c r="P124">
        <v>300</v>
      </c>
      <c r="Q124">
        <v>16.73</v>
      </c>
      <c r="R124">
        <v>5019</v>
      </c>
      <c r="S124">
        <v>-266</v>
      </c>
    </row>
    <row r="125" spans="12:19" x14ac:dyDescent="0.2">
      <c r="L125" t="s">
        <v>5</v>
      </c>
      <c r="M125" t="s">
        <v>35</v>
      </c>
      <c r="N125" t="s">
        <v>31</v>
      </c>
      <c r="O125" s="39">
        <v>4753</v>
      </c>
      <c r="P125">
        <v>246</v>
      </c>
      <c r="Q125">
        <v>5.79</v>
      </c>
      <c r="R125">
        <v>1424.34</v>
      </c>
      <c r="S125">
        <v>3328.66</v>
      </c>
    </row>
    <row r="126" spans="12:19" x14ac:dyDescent="0.2">
      <c r="L126" t="s">
        <v>40</v>
      </c>
      <c r="M126" t="s">
        <v>35</v>
      </c>
      <c r="N126" t="s">
        <v>16</v>
      </c>
      <c r="O126" s="39">
        <v>4725</v>
      </c>
      <c r="P126">
        <v>174</v>
      </c>
      <c r="Q126">
        <v>8.7899999999999991</v>
      </c>
      <c r="R126">
        <v>1529.4599999999998</v>
      </c>
      <c r="S126">
        <v>3195.54</v>
      </c>
    </row>
    <row r="127" spans="12:19" x14ac:dyDescent="0.2">
      <c r="L127" t="s">
        <v>10</v>
      </c>
      <c r="M127" t="s">
        <v>37</v>
      </c>
      <c r="N127" t="s">
        <v>23</v>
      </c>
      <c r="O127" s="39">
        <v>4683</v>
      </c>
      <c r="P127">
        <v>30</v>
      </c>
      <c r="Q127">
        <v>6.49</v>
      </c>
      <c r="R127">
        <v>194.70000000000002</v>
      </c>
      <c r="S127">
        <v>4488.3</v>
      </c>
    </row>
    <row r="128" spans="12:19" x14ac:dyDescent="0.2">
      <c r="L128" t="s">
        <v>7</v>
      </c>
      <c r="M128" t="s">
        <v>35</v>
      </c>
      <c r="N128" t="s">
        <v>14</v>
      </c>
      <c r="O128" s="39">
        <v>4606</v>
      </c>
      <c r="P128">
        <v>63</v>
      </c>
      <c r="Q128">
        <v>11.7</v>
      </c>
      <c r="R128">
        <v>737.09999999999991</v>
      </c>
      <c r="S128">
        <v>3868.9</v>
      </c>
    </row>
    <row r="129" spans="12:19" x14ac:dyDescent="0.2">
      <c r="L129" t="s">
        <v>3</v>
      </c>
      <c r="M129" t="s">
        <v>37</v>
      </c>
      <c r="N129" t="s">
        <v>29</v>
      </c>
      <c r="O129" s="39">
        <v>4592</v>
      </c>
      <c r="P129">
        <v>324</v>
      </c>
      <c r="Q129">
        <v>7.16</v>
      </c>
      <c r="R129">
        <v>2319.84</v>
      </c>
      <c r="S129">
        <v>2272.16</v>
      </c>
    </row>
    <row r="130" spans="12:19" x14ac:dyDescent="0.2">
      <c r="L130" t="s">
        <v>7</v>
      </c>
      <c r="M130" t="s">
        <v>35</v>
      </c>
      <c r="N130" t="s">
        <v>19</v>
      </c>
      <c r="O130" s="39">
        <v>4585</v>
      </c>
      <c r="P130">
        <v>240</v>
      </c>
      <c r="Q130">
        <v>7.64</v>
      </c>
      <c r="R130">
        <v>1833.6</v>
      </c>
      <c r="S130">
        <v>2751.4</v>
      </c>
    </row>
    <row r="131" spans="12:19" x14ac:dyDescent="0.2">
      <c r="L131" t="s">
        <v>7</v>
      </c>
      <c r="M131" t="s">
        <v>37</v>
      </c>
      <c r="N131" t="s">
        <v>16</v>
      </c>
      <c r="O131" s="39">
        <v>4487</v>
      </c>
      <c r="P131">
        <v>333</v>
      </c>
      <c r="Q131">
        <v>8.7899999999999991</v>
      </c>
      <c r="R131">
        <v>2927.0699999999997</v>
      </c>
      <c r="S131">
        <v>1559.9300000000003</v>
      </c>
    </row>
    <row r="132" spans="12:19" x14ac:dyDescent="0.2">
      <c r="L132" t="s">
        <v>7</v>
      </c>
      <c r="M132" t="s">
        <v>37</v>
      </c>
      <c r="N132" t="s">
        <v>17</v>
      </c>
      <c r="O132" s="39">
        <v>4487</v>
      </c>
      <c r="P132">
        <v>111</v>
      </c>
      <c r="Q132">
        <v>3.11</v>
      </c>
      <c r="R132">
        <v>345.21</v>
      </c>
      <c r="S132">
        <v>4141.79</v>
      </c>
    </row>
    <row r="133" spans="12:19" x14ac:dyDescent="0.2">
      <c r="L133" t="s">
        <v>5</v>
      </c>
      <c r="M133" t="s">
        <v>35</v>
      </c>
      <c r="N133" t="s">
        <v>29</v>
      </c>
      <c r="O133" s="39">
        <v>4480</v>
      </c>
      <c r="P133">
        <v>357</v>
      </c>
      <c r="Q133">
        <v>7.16</v>
      </c>
      <c r="R133">
        <v>2556.12</v>
      </c>
      <c r="S133">
        <v>1923.88</v>
      </c>
    </row>
    <row r="134" spans="12:19" x14ac:dyDescent="0.2">
      <c r="L134" t="s">
        <v>7</v>
      </c>
      <c r="M134" t="s">
        <v>39</v>
      </c>
      <c r="N134" t="s">
        <v>17</v>
      </c>
      <c r="O134" s="39">
        <v>4438</v>
      </c>
      <c r="P134">
        <v>246</v>
      </c>
      <c r="Q134">
        <v>3.11</v>
      </c>
      <c r="R134">
        <v>765.06</v>
      </c>
      <c r="S134">
        <v>3672.94</v>
      </c>
    </row>
    <row r="135" spans="12:19" x14ac:dyDescent="0.2">
      <c r="L135" t="s">
        <v>40</v>
      </c>
      <c r="M135" t="s">
        <v>36</v>
      </c>
      <c r="N135" t="s">
        <v>13</v>
      </c>
      <c r="O135" s="39">
        <v>4424</v>
      </c>
      <c r="P135">
        <v>201</v>
      </c>
      <c r="Q135">
        <v>9.33</v>
      </c>
      <c r="R135">
        <v>1875.33</v>
      </c>
      <c r="S135">
        <v>2548.67</v>
      </c>
    </row>
    <row r="136" spans="12:19" x14ac:dyDescent="0.2">
      <c r="L136" t="s">
        <v>2</v>
      </c>
      <c r="M136" t="s">
        <v>38</v>
      </c>
      <c r="N136" t="s">
        <v>23</v>
      </c>
      <c r="O136" s="39">
        <v>4417</v>
      </c>
      <c r="P136">
        <v>153</v>
      </c>
      <c r="Q136">
        <v>6.49</v>
      </c>
      <c r="R136">
        <v>992.97</v>
      </c>
      <c r="S136">
        <v>3424.0299999999997</v>
      </c>
    </row>
    <row r="137" spans="12:19" x14ac:dyDescent="0.2">
      <c r="L137" t="s">
        <v>2</v>
      </c>
      <c r="M137" t="s">
        <v>38</v>
      </c>
      <c r="N137" t="s">
        <v>31</v>
      </c>
      <c r="O137" s="39">
        <v>4326</v>
      </c>
      <c r="P137">
        <v>348</v>
      </c>
      <c r="Q137">
        <v>5.79</v>
      </c>
      <c r="R137">
        <v>2014.92</v>
      </c>
      <c r="S137">
        <v>2311.08</v>
      </c>
    </row>
    <row r="138" spans="12:19" x14ac:dyDescent="0.2">
      <c r="L138" t="s">
        <v>6</v>
      </c>
      <c r="M138" t="s">
        <v>36</v>
      </c>
      <c r="N138" t="s">
        <v>13</v>
      </c>
      <c r="O138" s="39">
        <v>4319</v>
      </c>
      <c r="P138">
        <v>30</v>
      </c>
      <c r="Q138">
        <v>9.33</v>
      </c>
      <c r="R138">
        <v>279.89999999999998</v>
      </c>
      <c r="S138">
        <v>4039.1</v>
      </c>
    </row>
    <row r="139" spans="12:19" x14ac:dyDescent="0.2">
      <c r="L139" t="s">
        <v>9</v>
      </c>
      <c r="M139" t="s">
        <v>37</v>
      </c>
      <c r="N139" t="s">
        <v>25</v>
      </c>
      <c r="O139" s="39">
        <v>4305</v>
      </c>
      <c r="P139">
        <v>156</v>
      </c>
      <c r="Q139">
        <v>13.15</v>
      </c>
      <c r="R139">
        <v>2051.4</v>
      </c>
      <c r="S139">
        <v>2253.6</v>
      </c>
    </row>
    <row r="140" spans="12:19" x14ac:dyDescent="0.2">
      <c r="L140" t="s">
        <v>6</v>
      </c>
      <c r="M140" t="s">
        <v>34</v>
      </c>
      <c r="N140" t="s">
        <v>27</v>
      </c>
      <c r="O140" s="39">
        <v>4242</v>
      </c>
      <c r="P140">
        <v>207</v>
      </c>
      <c r="Q140">
        <v>16.73</v>
      </c>
      <c r="R140">
        <v>3463.11</v>
      </c>
      <c r="S140">
        <v>778.88999999999987</v>
      </c>
    </row>
    <row r="141" spans="12:19" x14ac:dyDescent="0.2">
      <c r="L141" t="s">
        <v>9</v>
      </c>
      <c r="M141" t="s">
        <v>38</v>
      </c>
      <c r="N141" t="s">
        <v>24</v>
      </c>
      <c r="O141" s="39">
        <v>4137</v>
      </c>
      <c r="P141">
        <v>60</v>
      </c>
      <c r="Q141">
        <v>4.97</v>
      </c>
      <c r="R141">
        <v>298.2</v>
      </c>
      <c r="S141">
        <v>3838.8</v>
      </c>
    </row>
    <row r="142" spans="12:19" x14ac:dyDescent="0.2">
      <c r="L142" t="s">
        <v>10</v>
      </c>
      <c r="M142" t="s">
        <v>34</v>
      </c>
      <c r="N142" t="s">
        <v>22</v>
      </c>
      <c r="O142" s="39">
        <v>4053</v>
      </c>
      <c r="P142">
        <v>24</v>
      </c>
      <c r="Q142">
        <v>9.77</v>
      </c>
      <c r="R142">
        <v>234.48</v>
      </c>
      <c r="S142">
        <v>3818.52</v>
      </c>
    </row>
    <row r="143" spans="12:19" x14ac:dyDescent="0.2">
      <c r="L143" t="s">
        <v>5</v>
      </c>
      <c r="M143" t="s">
        <v>39</v>
      </c>
      <c r="N143" t="s">
        <v>24</v>
      </c>
      <c r="O143" s="39">
        <v>4018</v>
      </c>
      <c r="P143">
        <v>171</v>
      </c>
      <c r="Q143">
        <v>4.97</v>
      </c>
      <c r="R143">
        <v>849.87</v>
      </c>
      <c r="S143">
        <v>3168.13</v>
      </c>
    </row>
    <row r="144" spans="12:19" x14ac:dyDescent="0.2">
      <c r="L144" t="s">
        <v>40</v>
      </c>
      <c r="M144" t="s">
        <v>34</v>
      </c>
      <c r="N144" t="s">
        <v>19</v>
      </c>
      <c r="O144" s="39">
        <v>4018</v>
      </c>
      <c r="P144">
        <v>162</v>
      </c>
      <c r="Q144">
        <v>7.64</v>
      </c>
      <c r="R144">
        <v>1237.6799999999998</v>
      </c>
      <c r="S144">
        <v>2780.32</v>
      </c>
    </row>
    <row r="145" spans="12:19" x14ac:dyDescent="0.2">
      <c r="L145" t="s">
        <v>2</v>
      </c>
      <c r="M145" t="s">
        <v>39</v>
      </c>
      <c r="N145" t="s">
        <v>33</v>
      </c>
      <c r="O145" s="39">
        <v>4018</v>
      </c>
      <c r="P145">
        <v>126</v>
      </c>
      <c r="Q145">
        <v>12.37</v>
      </c>
      <c r="R145">
        <v>1558.62</v>
      </c>
      <c r="S145">
        <v>2459.38</v>
      </c>
    </row>
    <row r="146" spans="12:19" x14ac:dyDescent="0.2">
      <c r="L146" t="s">
        <v>3</v>
      </c>
      <c r="M146" t="s">
        <v>37</v>
      </c>
      <c r="N146" t="s">
        <v>17</v>
      </c>
      <c r="O146" s="39">
        <v>3983</v>
      </c>
      <c r="P146">
        <v>144</v>
      </c>
      <c r="Q146">
        <v>3.11</v>
      </c>
      <c r="R146">
        <v>447.84</v>
      </c>
      <c r="S146">
        <v>3535.16</v>
      </c>
    </row>
    <row r="147" spans="12:19" x14ac:dyDescent="0.2">
      <c r="L147" t="s">
        <v>41</v>
      </c>
      <c r="M147" t="s">
        <v>39</v>
      </c>
      <c r="N147" t="s">
        <v>14</v>
      </c>
      <c r="O147" s="39">
        <v>3976</v>
      </c>
      <c r="P147">
        <v>72</v>
      </c>
      <c r="Q147">
        <v>11.7</v>
      </c>
      <c r="R147">
        <v>842.4</v>
      </c>
      <c r="S147">
        <v>3133.6</v>
      </c>
    </row>
    <row r="148" spans="12:19" x14ac:dyDescent="0.2">
      <c r="L148" t="s">
        <v>9</v>
      </c>
      <c r="M148" t="s">
        <v>39</v>
      </c>
      <c r="N148" t="s">
        <v>24</v>
      </c>
      <c r="O148" s="39">
        <v>3920</v>
      </c>
      <c r="P148">
        <v>306</v>
      </c>
      <c r="Q148">
        <v>4.97</v>
      </c>
      <c r="R148">
        <v>1520.82</v>
      </c>
      <c r="S148">
        <v>2399.1800000000003</v>
      </c>
    </row>
    <row r="149" spans="12:19" x14ac:dyDescent="0.2">
      <c r="L149" t="s">
        <v>6</v>
      </c>
      <c r="M149" t="s">
        <v>35</v>
      </c>
      <c r="N149" t="s">
        <v>27</v>
      </c>
      <c r="O149" s="39">
        <v>3864</v>
      </c>
      <c r="P149">
        <v>177</v>
      </c>
      <c r="Q149">
        <v>16.73</v>
      </c>
      <c r="R149">
        <v>2961.21</v>
      </c>
      <c r="S149">
        <v>902.79</v>
      </c>
    </row>
    <row r="150" spans="12:19" x14ac:dyDescent="0.2">
      <c r="L150" t="s">
        <v>9</v>
      </c>
      <c r="M150" t="s">
        <v>38</v>
      </c>
      <c r="N150" t="s">
        <v>25</v>
      </c>
      <c r="O150" s="39">
        <v>3850</v>
      </c>
      <c r="P150">
        <v>102</v>
      </c>
      <c r="Q150">
        <v>13.15</v>
      </c>
      <c r="R150">
        <v>1341.3</v>
      </c>
      <c r="S150">
        <v>2508.6999999999998</v>
      </c>
    </row>
    <row r="151" spans="12:19" x14ac:dyDescent="0.2">
      <c r="L151" t="s">
        <v>7</v>
      </c>
      <c r="M151" t="s">
        <v>34</v>
      </c>
      <c r="N151" t="s">
        <v>15</v>
      </c>
      <c r="O151" s="39">
        <v>3829</v>
      </c>
      <c r="P151">
        <v>24</v>
      </c>
      <c r="Q151">
        <v>11.73</v>
      </c>
      <c r="R151">
        <v>281.52</v>
      </c>
      <c r="S151">
        <v>3547.48</v>
      </c>
    </row>
    <row r="152" spans="12:19" x14ac:dyDescent="0.2">
      <c r="L152" t="s">
        <v>10</v>
      </c>
      <c r="M152" t="s">
        <v>35</v>
      </c>
      <c r="N152" t="s">
        <v>18</v>
      </c>
      <c r="O152" s="39">
        <v>3808</v>
      </c>
      <c r="P152">
        <v>279</v>
      </c>
      <c r="Q152">
        <v>6.47</v>
      </c>
      <c r="R152">
        <v>1805.1299999999999</v>
      </c>
      <c r="S152">
        <v>2002.8700000000001</v>
      </c>
    </row>
    <row r="153" spans="12:19" x14ac:dyDescent="0.2">
      <c r="L153" t="s">
        <v>40</v>
      </c>
      <c r="M153" t="s">
        <v>34</v>
      </c>
      <c r="N153" t="s">
        <v>33</v>
      </c>
      <c r="O153" s="39">
        <v>3794</v>
      </c>
      <c r="P153">
        <v>159</v>
      </c>
      <c r="Q153">
        <v>12.37</v>
      </c>
      <c r="R153">
        <v>1966.83</v>
      </c>
      <c r="S153">
        <v>1827.17</v>
      </c>
    </row>
    <row r="154" spans="12:19" x14ac:dyDescent="0.2">
      <c r="L154" t="s">
        <v>3</v>
      </c>
      <c r="M154" t="s">
        <v>36</v>
      </c>
      <c r="N154" t="s">
        <v>23</v>
      </c>
      <c r="O154" s="39">
        <v>3773</v>
      </c>
      <c r="P154">
        <v>165</v>
      </c>
      <c r="Q154">
        <v>6.49</v>
      </c>
      <c r="R154">
        <v>1070.8500000000001</v>
      </c>
      <c r="S154">
        <v>2702.1499999999996</v>
      </c>
    </row>
    <row r="155" spans="12:19" x14ac:dyDescent="0.2">
      <c r="L155" t="s">
        <v>6</v>
      </c>
      <c r="M155" t="s">
        <v>34</v>
      </c>
      <c r="N155" t="s">
        <v>17</v>
      </c>
      <c r="O155" s="39">
        <v>3759</v>
      </c>
      <c r="P155">
        <v>150</v>
      </c>
      <c r="Q155">
        <v>3.11</v>
      </c>
      <c r="R155">
        <v>466.5</v>
      </c>
      <c r="S155">
        <v>3292.5</v>
      </c>
    </row>
    <row r="156" spans="12:19" x14ac:dyDescent="0.2">
      <c r="L156" t="s">
        <v>8</v>
      </c>
      <c r="M156" t="s">
        <v>38</v>
      </c>
      <c r="N156" t="s">
        <v>32</v>
      </c>
      <c r="O156" s="39">
        <v>3752</v>
      </c>
      <c r="P156">
        <v>213</v>
      </c>
      <c r="Q156">
        <v>8.65</v>
      </c>
      <c r="R156">
        <v>1842.45</v>
      </c>
      <c r="S156">
        <v>1909.55</v>
      </c>
    </row>
    <row r="157" spans="12:19" x14ac:dyDescent="0.2">
      <c r="L157" t="s">
        <v>3</v>
      </c>
      <c r="M157" t="s">
        <v>34</v>
      </c>
      <c r="N157" t="s">
        <v>28</v>
      </c>
      <c r="O157" s="39">
        <v>3689</v>
      </c>
      <c r="P157">
        <v>312</v>
      </c>
      <c r="Q157">
        <v>10.38</v>
      </c>
      <c r="R157">
        <v>3238.5600000000004</v>
      </c>
      <c r="S157">
        <v>450.4399999999996</v>
      </c>
    </row>
    <row r="158" spans="12:19" x14ac:dyDescent="0.2">
      <c r="L158" t="s">
        <v>3</v>
      </c>
      <c r="M158" t="s">
        <v>39</v>
      </c>
      <c r="N158" t="s">
        <v>29</v>
      </c>
      <c r="O158" s="39">
        <v>3640</v>
      </c>
      <c r="P158">
        <v>51</v>
      </c>
      <c r="Q158">
        <v>7.16</v>
      </c>
      <c r="R158">
        <v>365.16</v>
      </c>
      <c r="S158">
        <v>3274.84</v>
      </c>
    </row>
    <row r="159" spans="12:19" x14ac:dyDescent="0.2">
      <c r="L159" t="s">
        <v>8</v>
      </c>
      <c r="M159" t="s">
        <v>35</v>
      </c>
      <c r="N159" t="s">
        <v>30</v>
      </c>
      <c r="O159" s="39">
        <v>3598</v>
      </c>
      <c r="P159">
        <v>81</v>
      </c>
      <c r="Q159">
        <v>14.49</v>
      </c>
      <c r="R159">
        <v>1173.69</v>
      </c>
      <c r="S159">
        <v>2424.31</v>
      </c>
    </row>
    <row r="160" spans="12:19" x14ac:dyDescent="0.2">
      <c r="L160" t="s">
        <v>6</v>
      </c>
      <c r="M160" t="s">
        <v>37</v>
      </c>
      <c r="N160" t="s">
        <v>28</v>
      </c>
      <c r="O160" s="39">
        <v>3556</v>
      </c>
      <c r="P160">
        <v>459</v>
      </c>
      <c r="Q160">
        <v>10.38</v>
      </c>
      <c r="R160">
        <v>4764.42</v>
      </c>
      <c r="S160">
        <v>-1208.42</v>
      </c>
    </row>
    <row r="161" spans="12:19" x14ac:dyDescent="0.2">
      <c r="L161" t="s">
        <v>2</v>
      </c>
      <c r="M161" t="s">
        <v>38</v>
      </c>
      <c r="N161" t="s">
        <v>4</v>
      </c>
      <c r="O161" s="39">
        <v>3549</v>
      </c>
      <c r="P161">
        <v>3</v>
      </c>
      <c r="Q161">
        <v>11.88</v>
      </c>
      <c r="R161">
        <v>35.64</v>
      </c>
      <c r="S161">
        <v>3513.36</v>
      </c>
    </row>
    <row r="162" spans="12:19" x14ac:dyDescent="0.2">
      <c r="L162" t="s">
        <v>8</v>
      </c>
      <c r="M162" t="s">
        <v>34</v>
      </c>
      <c r="N162" t="s">
        <v>31</v>
      </c>
      <c r="O162" s="39">
        <v>3507</v>
      </c>
      <c r="P162">
        <v>288</v>
      </c>
      <c r="Q162">
        <v>5.79</v>
      </c>
      <c r="R162">
        <v>1667.52</v>
      </c>
      <c r="S162">
        <v>1839.48</v>
      </c>
    </row>
    <row r="163" spans="12:19" x14ac:dyDescent="0.2">
      <c r="L163" t="s">
        <v>10</v>
      </c>
      <c r="M163" t="s">
        <v>35</v>
      </c>
      <c r="N163" t="s">
        <v>14</v>
      </c>
      <c r="O163" s="39">
        <v>3472</v>
      </c>
      <c r="P163">
        <v>96</v>
      </c>
      <c r="Q163">
        <v>11.7</v>
      </c>
      <c r="R163">
        <v>1123.1999999999998</v>
      </c>
      <c r="S163">
        <v>2348.8000000000002</v>
      </c>
    </row>
    <row r="164" spans="12:19" x14ac:dyDescent="0.2">
      <c r="L164" t="s">
        <v>6</v>
      </c>
      <c r="M164" t="s">
        <v>34</v>
      </c>
      <c r="N164" t="s">
        <v>30</v>
      </c>
      <c r="O164" s="39">
        <v>3402</v>
      </c>
      <c r="P164">
        <v>366</v>
      </c>
      <c r="Q164">
        <v>14.49</v>
      </c>
      <c r="R164">
        <v>5303.34</v>
      </c>
      <c r="S164">
        <v>-1901.3400000000001</v>
      </c>
    </row>
    <row r="165" spans="12:19" x14ac:dyDescent="0.2">
      <c r="L165" t="s">
        <v>41</v>
      </c>
      <c r="M165" t="s">
        <v>37</v>
      </c>
      <c r="N165" t="s">
        <v>20</v>
      </c>
      <c r="O165" s="39">
        <v>3388</v>
      </c>
      <c r="P165">
        <v>123</v>
      </c>
      <c r="Q165">
        <v>10.62</v>
      </c>
      <c r="R165">
        <v>1306.26</v>
      </c>
      <c r="S165">
        <v>2081.7399999999998</v>
      </c>
    </row>
    <row r="166" spans="12:19" x14ac:dyDescent="0.2">
      <c r="L166" t="s">
        <v>5</v>
      </c>
      <c r="M166" t="s">
        <v>36</v>
      </c>
      <c r="N166" t="s">
        <v>17</v>
      </c>
      <c r="O166" s="39">
        <v>3339</v>
      </c>
      <c r="P166">
        <v>348</v>
      </c>
      <c r="Q166">
        <v>3.11</v>
      </c>
      <c r="R166">
        <v>1082.28</v>
      </c>
      <c r="S166">
        <v>2256.7200000000003</v>
      </c>
    </row>
    <row r="167" spans="12:19" x14ac:dyDescent="0.2">
      <c r="L167" t="s">
        <v>6</v>
      </c>
      <c r="M167" t="s">
        <v>34</v>
      </c>
      <c r="N167" t="s">
        <v>29</v>
      </c>
      <c r="O167" s="39">
        <v>3339</v>
      </c>
      <c r="P167">
        <v>75</v>
      </c>
      <c r="Q167">
        <v>7.16</v>
      </c>
      <c r="R167">
        <v>537</v>
      </c>
      <c r="S167">
        <v>2802</v>
      </c>
    </row>
    <row r="168" spans="12:19" x14ac:dyDescent="0.2">
      <c r="L168" t="s">
        <v>3</v>
      </c>
      <c r="M168" t="s">
        <v>36</v>
      </c>
      <c r="N168" t="s">
        <v>25</v>
      </c>
      <c r="O168" s="39">
        <v>3339</v>
      </c>
      <c r="P168">
        <v>39</v>
      </c>
      <c r="Q168">
        <v>13.15</v>
      </c>
      <c r="R168">
        <v>512.85</v>
      </c>
      <c r="S168">
        <v>2826.15</v>
      </c>
    </row>
    <row r="169" spans="12:19" x14ac:dyDescent="0.2">
      <c r="L169" t="s">
        <v>7</v>
      </c>
      <c r="M169" t="s">
        <v>34</v>
      </c>
      <c r="N169" t="s">
        <v>32</v>
      </c>
      <c r="O169" s="39">
        <v>3262</v>
      </c>
      <c r="P169">
        <v>75</v>
      </c>
      <c r="Q169">
        <v>8.65</v>
      </c>
      <c r="R169">
        <v>648.75</v>
      </c>
      <c r="S169">
        <v>2613.25</v>
      </c>
    </row>
    <row r="170" spans="12:19" x14ac:dyDescent="0.2">
      <c r="L170" t="s">
        <v>9</v>
      </c>
      <c r="M170" t="s">
        <v>39</v>
      </c>
      <c r="N170" t="s">
        <v>25</v>
      </c>
      <c r="O170" s="39">
        <v>3192</v>
      </c>
      <c r="P170">
        <v>72</v>
      </c>
      <c r="Q170">
        <v>13.15</v>
      </c>
      <c r="R170">
        <v>946.80000000000007</v>
      </c>
      <c r="S170">
        <v>2245.1999999999998</v>
      </c>
    </row>
    <row r="171" spans="12:19" x14ac:dyDescent="0.2">
      <c r="L171" t="s">
        <v>40</v>
      </c>
      <c r="M171" t="s">
        <v>36</v>
      </c>
      <c r="N171" t="s">
        <v>27</v>
      </c>
      <c r="O171" s="39">
        <v>3164</v>
      </c>
      <c r="P171">
        <v>306</v>
      </c>
      <c r="Q171">
        <v>16.73</v>
      </c>
      <c r="R171">
        <v>5119.38</v>
      </c>
      <c r="S171">
        <v>-1955.38</v>
      </c>
    </row>
    <row r="172" spans="12:19" x14ac:dyDescent="0.2">
      <c r="L172" t="s">
        <v>3</v>
      </c>
      <c r="M172" t="s">
        <v>34</v>
      </c>
      <c r="N172" t="s">
        <v>26</v>
      </c>
      <c r="O172" s="39">
        <v>3108</v>
      </c>
      <c r="P172">
        <v>54</v>
      </c>
      <c r="Q172">
        <v>5.6</v>
      </c>
      <c r="R172">
        <v>302.39999999999998</v>
      </c>
      <c r="S172">
        <v>2805.6</v>
      </c>
    </row>
    <row r="173" spans="12:19" x14ac:dyDescent="0.2">
      <c r="L173" t="s">
        <v>40</v>
      </c>
      <c r="M173" t="s">
        <v>39</v>
      </c>
      <c r="N173" t="s">
        <v>28</v>
      </c>
      <c r="O173" s="39">
        <v>3101</v>
      </c>
      <c r="P173">
        <v>225</v>
      </c>
      <c r="Q173">
        <v>10.38</v>
      </c>
      <c r="R173">
        <v>2335.5</v>
      </c>
      <c r="S173">
        <v>765.5</v>
      </c>
    </row>
    <row r="174" spans="12:19" x14ac:dyDescent="0.2">
      <c r="L174" t="s">
        <v>2</v>
      </c>
      <c r="M174" t="s">
        <v>36</v>
      </c>
      <c r="N174" t="s">
        <v>31</v>
      </c>
      <c r="O174" s="39">
        <v>3094</v>
      </c>
      <c r="P174">
        <v>246</v>
      </c>
      <c r="Q174">
        <v>5.79</v>
      </c>
      <c r="R174">
        <v>1424.34</v>
      </c>
      <c r="S174">
        <v>1669.66</v>
      </c>
    </row>
    <row r="175" spans="12:19" x14ac:dyDescent="0.2">
      <c r="L175" t="s">
        <v>10</v>
      </c>
      <c r="M175" t="s">
        <v>37</v>
      </c>
      <c r="N175" t="s">
        <v>28</v>
      </c>
      <c r="O175" s="39">
        <v>3059</v>
      </c>
      <c r="P175">
        <v>27</v>
      </c>
      <c r="Q175">
        <v>10.38</v>
      </c>
      <c r="R175">
        <v>280.26000000000005</v>
      </c>
      <c r="S175">
        <v>2778.74</v>
      </c>
    </row>
    <row r="176" spans="12:19" x14ac:dyDescent="0.2">
      <c r="L176" t="s">
        <v>6</v>
      </c>
      <c r="M176" t="s">
        <v>39</v>
      </c>
      <c r="N176" t="s">
        <v>29</v>
      </c>
      <c r="O176" s="39">
        <v>3052</v>
      </c>
      <c r="P176">
        <v>378</v>
      </c>
      <c r="Q176">
        <v>7.16</v>
      </c>
      <c r="R176">
        <v>2706.48</v>
      </c>
      <c r="S176">
        <v>345.52</v>
      </c>
    </row>
    <row r="177" spans="12:19" x14ac:dyDescent="0.2">
      <c r="L177" t="s">
        <v>6</v>
      </c>
      <c r="M177" t="s">
        <v>39</v>
      </c>
      <c r="N177" t="s">
        <v>24</v>
      </c>
      <c r="O177" s="39">
        <v>2989</v>
      </c>
      <c r="P177">
        <v>3</v>
      </c>
      <c r="Q177">
        <v>4.97</v>
      </c>
      <c r="R177">
        <v>14.91</v>
      </c>
      <c r="S177">
        <v>2974.09</v>
      </c>
    </row>
    <row r="178" spans="12:19" x14ac:dyDescent="0.2">
      <c r="L178" t="s">
        <v>9</v>
      </c>
      <c r="M178" t="s">
        <v>36</v>
      </c>
      <c r="N178" t="s">
        <v>32</v>
      </c>
      <c r="O178" s="39">
        <v>2954</v>
      </c>
      <c r="P178">
        <v>189</v>
      </c>
      <c r="Q178">
        <v>8.65</v>
      </c>
      <c r="R178">
        <v>1634.8500000000001</v>
      </c>
      <c r="S178">
        <v>1319.1499999999999</v>
      </c>
    </row>
    <row r="179" spans="12:19" x14ac:dyDescent="0.2">
      <c r="L179" t="s">
        <v>41</v>
      </c>
      <c r="M179" t="s">
        <v>37</v>
      </c>
      <c r="N179" t="s">
        <v>21</v>
      </c>
      <c r="O179" s="39">
        <v>2933</v>
      </c>
      <c r="P179">
        <v>9</v>
      </c>
      <c r="Q179">
        <v>9</v>
      </c>
      <c r="R179">
        <v>81</v>
      </c>
      <c r="S179">
        <v>2852</v>
      </c>
    </row>
    <row r="180" spans="12:19" x14ac:dyDescent="0.2">
      <c r="L180" t="s">
        <v>3</v>
      </c>
      <c r="M180" t="s">
        <v>34</v>
      </c>
      <c r="N180" t="s">
        <v>17</v>
      </c>
      <c r="O180" s="39">
        <v>2919</v>
      </c>
      <c r="P180">
        <v>93</v>
      </c>
      <c r="Q180">
        <v>3.11</v>
      </c>
      <c r="R180">
        <v>289.22999999999996</v>
      </c>
      <c r="S180">
        <v>2629.77</v>
      </c>
    </row>
    <row r="181" spans="12:19" x14ac:dyDescent="0.2">
      <c r="L181" t="s">
        <v>9</v>
      </c>
      <c r="M181" t="s">
        <v>37</v>
      </c>
      <c r="N181" t="s">
        <v>28</v>
      </c>
      <c r="O181" s="39">
        <v>2919</v>
      </c>
      <c r="P181">
        <v>45</v>
      </c>
      <c r="Q181">
        <v>10.38</v>
      </c>
      <c r="R181">
        <v>467.1</v>
      </c>
      <c r="S181">
        <v>2451.9</v>
      </c>
    </row>
    <row r="182" spans="12:19" x14ac:dyDescent="0.2">
      <c r="L182" t="s">
        <v>5</v>
      </c>
      <c r="M182" t="s">
        <v>34</v>
      </c>
      <c r="N182" t="s">
        <v>29</v>
      </c>
      <c r="O182" s="39">
        <v>2891</v>
      </c>
      <c r="P182">
        <v>102</v>
      </c>
      <c r="Q182">
        <v>7.16</v>
      </c>
      <c r="R182">
        <v>730.32</v>
      </c>
      <c r="S182">
        <v>2160.6799999999998</v>
      </c>
    </row>
    <row r="183" spans="12:19" x14ac:dyDescent="0.2">
      <c r="L183" t="s">
        <v>7</v>
      </c>
      <c r="M183" t="s">
        <v>36</v>
      </c>
      <c r="N183" t="s">
        <v>19</v>
      </c>
      <c r="O183" s="39">
        <v>2870</v>
      </c>
      <c r="P183">
        <v>300</v>
      </c>
      <c r="Q183">
        <v>7.64</v>
      </c>
      <c r="R183">
        <v>2292</v>
      </c>
      <c r="S183">
        <v>578</v>
      </c>
    </row>
    <row r="184" spans="12:19" x14ac:dyDescent="0.2">
      <c r="L184" t="s">
        <v>2</v>
      </c>
      <c r="M184" t="s">
        <v>37</v>
      </c>
      <c r="N184" t="s">
        <v>15</v>
      </c>
      <c r="O184" s="39">
        <v>2863</v>
      </c>
      <c r="P184">
        <v>42</v>
      </c>
      <c r="Q184">
        <v>11.73</v>
      </c>
      <c r="R184">
        <v>492.66</v>
      </c>
      <c r="S184">
        <v>2370.34</v>
      </c>
    </row>
    <row r="185" spans="12:19" x14ac:dyDescent="0.2">
      <c r="L185" t="s">
        <v>9</v>
      </c>
      <c r="M185" t="s">
        <v>37</v>
      </c>
      <c r="N185" t="s">
        <v>26</v>
      </c>
      <c r="O185" s="39">
        <v>2856</v>
      </c>
      <c r="P185">
        <v>246</v>
      </c>
      <c r="Q185">
        <v>5.6</v>
      </c>
      <c r="R185">
        <v>1377.6</v>
      </c>
      <c r="S185">
        <v>1478.4</v>
      </c>
    </row>
    <row r="186" spans="12:19" x14ac:dyDescent="0.2">
      <c r="L186" t="s">
        <v>7</v>
      </c>
      <c r="M186" t="s">
        <v>35</v>
      </c>
      <c r="N186" t="s">
        <v>24</v>
      </c>
      <c r="O186" s="39">
        <v>2793</v>
      </c>
      <c r="P186">
        <v>114</v>
      </c>
      <c r="Q186">
        <v>4.97</v>
      </c>
      <c r="R186">
        <v>566.57999999999993</v>
      </c>
      <c r="S186">
        <v>2226.42</v>
      </c>
    </row>
    <row r="187" spans="12:19" x14ac:dyDescent="0.2">
      <c r="L187" t="s">
        <v>40</v>
      </c>
      <c r="M187" t="s">
        <v>34</v>
      </c>
      <c r="N187" t="s">
        <v>23</v>
      </c>
      <c r="O187" s="39">
        <v>2779</v>
      </c>
      <c r="P187">
        <v>75</v>
      </c>
      <c r="Q187">
        <v>6.49</v>
      </c>
      <c r="R187">
        <v>486.75</v>
      </c>
      <c r="S187">
        <v>2292.25</v>
      </c>
    </row>
    <row r="188" spans="12:19" x14ac:dyDescent="0.2">
      <c r="L188" t="s">
        <v>5</v>
      </c>
      <c r="M188" t="s">
        <v>35</v>
      </c>
      <c r="N188" t="s">
        <v>4</v>
      </c>
      <c r="O188" s="39">
        <v>2744</v>
      </c>
      <c r="P188">
        <v>9</v>
      </c>
      <c r="Q188">
        <v>11.88</v>
      </c>
      <c r="R188">
        <v>106.92</v>
      </c>
      <c r="S188">
        <v>2637.08</v>
      </c>
    </row>
    <row r="189" spans="12:19" x14ac:dyDescent="0.2">
      <c r="L189" t="s">
        <v>9</v>
      </c>
      <c r="M189" t="s">
        <v>37</v>
      </c>
      <c r="N189" t="s">
        <v>23</v>
      </c>
      <c r="O189" s="39">
        <v>2737</v>
      </c>
      <c r="P189">
        <v>93</v>
      </c>
      <c r="Q189">
        <v>6.49</v>
      </c>
      <c r="R189">
        <v>603.57000000000005</v>
      </c>
      <c r="S189">
        <v>2133.4299999999998</v>
      </c>
    </row>
    <row r="190" spans="12:19" x14ac:dyDescent="0.2">
      <c r="L190" t="s">
        <v>8</v>
      </c>
      <c r="M190" t="s">
        <v>35</v>
      </c>
      <c r="N190" t="s">
        <v>20</v>
      </c>
      <c r="O190" s="39">
        <v>2702</v>
      </c>
      <c r="P190">
        <v>363</v>
      </c>
      <c r="Q190">
        <v>10.62</v>
      </c>
      <c r="R190">
        <v>3855.0599999999995</v>
      </c>
      <c r="S190">
        <v>-1153.0599999999995</v>
      </c>
    </row>
    <row r="191" spans="12:19" x14ac:dyDescent="0.2">
      <c r="L191" t="s">
        <v>6</v>
      </c>
      <c r="M191" t="s">
        <v>38</v>
      </c>
      <c r="N191" t="s">
        <v>31</v>
      </c>
      <c r="O191" s="39">
        <v>2681</v>
      </c>
      <c r="P191">
        <v>54</v>
      </c>
      <c r="Q191">
        <v>5.79</v>
      </c>
      <c r="R191">
        <v>312.66000000000003</v>
      </c>
      <c r="S191">
        <v>2368.34</v>
      </c>
    </row>
    <row r="192" spans="12:19" x14ac:dyDescent="0.2">
      <c r="L192" t="s">
        <v>7</v>
      </c>
      <c r="M192" t="s">
        <v>36</v>
      </c>
      <c r="N192" t="s">
        <v>18</v>
      </c>
      <c r="O192" s="39">
        <v>2646</v>
      </c>
      <c r="P192">
        <v>177</v>
      </c>
      <c r="Q192">
        <v>6.47</v>
      </c>
      <c r="R192">
        <v>1145.19</v>
      </c>
      <c r="S192">
        <v>1500.81</v>
      </c>
    </row>
    <row r="193" spans="12:19" x14ac:dyDescent="0.2">
      <c r="L193" t="s">
        <v>9</v>
      </c>
      <c r="M193" t="s">
        <v>38</v>
      </c>
      <c r="N193" t="s">
        <v>16</v>
      </c>
      <c r="O193" s="39">
        <v>2646</v>
      </c>
      <c r="P193">
        <v>120</v>
      </c>
      <c r="Q193">
        <v>8.7899999999999991</v>
      </c>
      <c r="R193">
        <v>1054.8</v>
      </c>
      <c r="S193">
        <v>1591.2</v>
      </c>
    </row>
    <row r="194" spans="12:19" x14ac:dyDescent="0.2">
      <c r="L194" t="s">
        <v>9</v>
      </c>
      <c r="M194" t="s">
        <v>39</v>
      </c>
      <c r="N194" t="s">
        <v>18</v>
      </c>
      <c r="O194" s="39">
        <v>2639</v>
      </c>
      <c r="P194">
        <v>204</v>
      </c>
      <c r="Q194">
        <v>6.47</v>
      </c>
      <c r="R194">
        <v>1319.8799999999999</v>
      </c>
      <c r="S194">
        <v>1319.1200000000001</v>
      </c>
    </row>
    <row r="195" spans="12:19" x14ac:dyDescent="0.2">
      <c r="L195" t="s">
        <v>3</v>
      </c>
      <c r="M195" t="s">
        <v>34</v>
      </c>
      <c r="N195" t="s">
        <v>20</v>
      </c>
      <c r="O195" s="39">
        <v>2583</v>
      </c>
      <c r="P195">
        <v>18</v>
      </c>
      <c r="Q195">
        <v>10.62</v>
      </c>
      <c r="R195">
        <v>191.16</v>
      </c>
      <c r="S195">
        <v>2391.84</v>
      </c>
    </row>
    <row r="196" spans="12:19" x14ac:dyDescent="0.2">
      <c r="L196" t="s">
        <v>10</v>
      </c>
      <c r="M196" t="s">
        <v>35</v>
      </c>
      <c r="N196" t="s">
        <v>15</v>
      </c>
      <c r="O196" s="39">
        <v>2562</v>
      </c>
      <c r="P196">
        <v>6</v>
      </c>
      <c r="Q196">
        <v>11.73</v>
      </c>
      <c r="R196">
        <v>70.38</v>
      </c>
      <c r="S196">
        <v>2491.62</v>
      </c>
    </row>
    <row r="197" spans="12:19" x14ac:dyDescent="0.2">
      <c r="L197" t="s">
        <v>40</v>
      </c>
      <c r="M197" t="s">
        <v>38</v>
      </c>
      <c r="N197" t="s">
        <v>25</v>
      </c>
      <c r="O197" s="39">
        <v>2541</v>
      </c>
      <c r="P197">
        <v>90</v>
      </c>
      <c r="Q197">
        <v>13.15</v>
      </c>
      <c r="R197">
        <v>1183.5</v>
      </c>
      <c r="S197">
        <v>1357.5</v>
      </c>
    </row>
    <row r="198" spans="12:19" x14ac:dyDescent="0.2">
      <c r="L198" t="s">
        <v>40</v>
      </c>
      <c r="M198" t="s">
        <v>38</v>
      </c>
      <c r="N198" t="s">
        <v>29</v>
      </c>
      <c r="O198" s="39">
        <v>2541</v>
      </c>
      <c r="P198">
        <v>45</v>
      </c>
      <c r="Q198">
        <v>7.16</v>
      </c>
      <c r="R198">
        <v>322.2</v>
      </c>
      <c r="S198">
        <v>2218.8000000000002</v>
      </c>
    </row>
    <row r="199" spans="12:19" x14ac:dyDescent="0.2">
      <c r="L199" t="s">
        <v>7</v>
      </c>
      <c r="M199" t="s">
        <v>35</v>
      </c>
      <c r="N199" t="s">
        <v>27</v>
      </c>
      <c r="O199" s="39">
        <v>2478</v>
      </c>
      <c r="P199">
        <v>21</v>
      </c>
      <c r="Q199">
        <v>16.73</v>
      </c>
      <c r="R199">
        <v>351.33</v>
      </c>
      <c r="S199">
        <v>2126.67</v>
      </c>
    </row>
    <row r="200" spans="12:19" x14ac:dyDescent="0.2">
      <c r="L200" t="s">
        <v>10</v>
      </c>
      <c r="M200" t="s">
        <v>36</v>
      </c>
      <c r="N200" t="s">
        <v>29</v>
      </c>
      <c r="O200" s="39">
        <v>2471</v>
      </c>
      <c r="P200">
        <v>342</v>
      </c>
      <c r="Q200">
        <v>7.16</v>
      </c>
      <c r="R200">
        <v>2448.7200000000003</v>
      </c>
      <c r="S200">
        <v>22.279999999999745</v>
      </c>
    </row>
    <row r="201" spans="12:19" x14ac:dyDescent="0.2">
      <c r="L201" t="s">
        <v>3</v>
      </c>
      <c r="M201" t="s">
        <v>35</v>
      </c>
      <c r="N201" t="s">
        <v>25</v>
      </c>
      <c r="O201" s="39">
        <v>2464</v>
      </c>
      <c r="P201">
        <v>234</v>
      </c>
      <c r="Q201">
        <v>13.15</v>
      </c>
      <c r="R201">
        <v>3077.1</v>
      </c>
      <c r="S201">
        <v>-613.09999999999991</v>
      </c>
    </row>
    <row r="202" spans="12:19" x14ac:dyDescent="0.2">
      <c r="L202" t="s">
        <v>9</v>
      </c>
      <c r="M202" t="s">
        <v>38</v>
      </c>
      <c r="N202" t="s">
        <v>26</v>
      </c>
      <c r="O202" s="39">
        <v>2436</v>
      </c>
      <c r="P202">
        <v>99</v>
      </c>
      <c r="Q202">
        <v>5.6</v>
      </c>
      <c r="R202">
        <v>554.4</v>
      </c>
      <c r="S202">
        <v>1881.6</v>
      </c>
    </row>
    <row r="203" spans="12:19" x14ac:dyDescent="0.2">
      <c r="L203" t="s">
        <v>9</v>
      </c>
      <c r="M203" t="s">
        <v>35</v>
      </c>
      <c r="N203" t="s">
        <v>27</v>
      </c>
      <c r="O203" s="39">
        <v>2429</v>
      </c>
      <c r="P203">
        <v>144</v>
      </c>
      <c r="Q203">
        <v>16.73</v>
      </c>
      <c r="R203">
        <v>2409.12</v>
      </c>
      <c r="S203">
        <v>19.880000000000109</v>
      </c>
    </row>
    <row r="204" spans="12:19" x14ac:dyDescent="0.2">
      <c r="L204" t="s">
        <v>3</v>
      </c>
      <c r="M204" t="s">
        <v>35</v>
      </c>
      <c r="N204" t="s">
        <v>14</v>
      </c>
      <c r="O204" s="39">
        <v>2415</v>
      </c>
      <c r="P204">
        <v>255</v>
      </c>
      <c r="Q204">
        <v>11.7</v>
      </c>
      <c r="R204">
        <v>2983.5</v>
      </c>
      <c r="S204">
        <v>-568.5</v>
      </c>
    </row>
    <row r="205" spans="12:19" x14ac:dyDescent="0.2">
      <c r="L205" t="s">
        <v>5</v>
      </c>
      <c r="M205" t="s">
        <v>35</v>
      </c>
      <c r="N205" t="s">
        <v>18</v>
      </c>
      <c r="O205" s="39">
        <v>2415</v>
      </c>
      <c r="P205">
        <v>15</v>
      </c>
      <c r="Q205">
        <v>6.47</v>
      </c>
      <c r="R205">
        <v>97.05</v>
      </c>
      <c r="S205">
        <v>2317.9499999999998</v>
      </c>
    </row>
    <row r="206" spans="12:19" x14ac:dyDescent="0.2">
      <c r="L206" t="s">
        <v>9</v>
      </c>
      <c r="M206" t="s">
        <v>38</v>
      </c>
      <c r="N206" t="s">
        <v>17</v>
      </c>
      <c r="O206" s="39">
        <v>2408</v>
      </c>
      <c r="P206">
        <v>9</v>
      </c>
      <c r="Q206">
        <v>3.11</v>
      </c>
      <c r="R206">
        <v>27.99</v>
      </c>
      <c r="S206">
        <v>2380.0100000000002</v>
      </c>
    </row>
    <row r="207" spans="12:19" x14ac:dyDescent="0.2">
      <c r="L207" t="s">
        <v>41</v>
      </c>
      <c r="M207" t="s">
        <v>37</v>
      </c>
      <c r="N207" t="s">
        <v>26</v>
      </c>
      <c r="O207" s="39">
        <v>2324</v>
      </c>
      <c r="P207">
        <v>177</v>
      </c>
      <c r="Q207">
        <v>5.6</v>
      </c>
      <c r="R207">
        <v>991.19999999999993</v>
      </c>
      <c r="S207">
        <v>1332.8000000000002</v>
      </c>
    </row>
    <row r="208" spans="12:19" x14ac:dyDescent="0.2">
      <c r="L208" t="s">
        <v>10</v>
      </c>
      <c r="M208" t="s">
        <v>36</v>
      </c>
      <c r="N208" t="s">
        <v>23</v>
      </c>
      <c r="O208" s="39">
        <v>2317</v>
      </c>
      <c r="P208">
        <v>261</v>
      </c>
      <c r="Q208">
        <v>6.49</v>
      </c>
      <c r="R208">
        <v>1693.89</v>
      </c>
      <c r="S208">
        <v>623.1099999999999</v>
      </c>
    </row>
    <row r="209" spans="12:19" x14ac:dyDescent="0.2">
      <c r="L209" t="s">
        <v>6</v>
      </c>
      <c r="M209" t="s">
        <v>38</v>
      </c>
      <c r="N209" t="s">
        <v>13</v>
      </c>
      <c r="O209" s="39">
        <v>2317</v>
      </c>
      <c r="P209">
        <v>123</v>
      </c>
      <c r="Q209">
        <v>9.33</v>
      </c>
      <c r="R209">
        <v>1147.5899999999999</v>
      </c>
      <c r="S209">
        <v>1169.4100000000001</v>
      </c>
    </row>
    <row r="210" spans="12:19" x14ac:dyDescent="0.2">
      <c r="L210" t="s">
        <v>40</v>
      </c>
      <c r="M210" t="s">
        <v>34</v>
      </c>
      <c r="N210" t="s">
        <v>27</v>
      </c>
      <c r="O210" s="39">
        <v>2289</v>
      </c>
      <c r="P210">
        <v>135</v>
      </c>
      <c r="Q210">
        <v>16.73</v>
      </c>
      <c r="R210">
        <v>2258.5500000000002</v>
      </c>
      <c r="S210">
        <v>30.449999999999818</v>
      </c>
    </row>
    <row r="211" spans="12:19" x14ac:dyDescent="0.2">
      <c r="L211" t="s">
        <v>40</v>
      </c>
      <c r="M211" t="s">
        <v>35</v>
      </c>
      <c r="N211" t="s">
        <v>30</v>
      </c>
      <c r="O211" s="39">
        <v>2275</v>
      </c>
      <c r="P211">
        <v>447</v>
      </c>
      <c r="Q211">
        <v>14.49</v>
      </c>
      <c r="R211">
        <v>6477.03</v>
      </c>
      <c r="S211">
        <v>-4202.03</v>
      </c>
    </row>
    <row r="212" spans="12:19" x14ac:dyDescent="0.2">
      <c r="L212" t="s">
        <v>8</v>
      </c>
      <c r="M212" t="s">
        <v>38</v>
      </c>
      <c r="N212" t="s">
        <v>27</v>
      </c>
      <c r="O212" s="39">
        <v>2268</v>
      </c>
      <c r="P212">
        <v>63</v>
      </c>
      <c r="Q212">
        <v>16.73</v>
      </c>
      <c r="R212">
        <v>1053.99</v>
      </c>
      <c r="S212">
        <v>1214.01</v>
      </c>
    </row>
    <row r="213" spans="12:19" x14ac:dyDescent="0.2">
      <c r="L213" t="s">
        <v>7</v>
      </c>
      <c r="M213" t="s">
        <v>34</v>
      </c>
      <c r="N213" t="s">
        <v>33</v>
      </c>
      <c r="O213" s="39">
        <v>2226</v>
      </c>
      <c r="P213">
        <v>48</v>
      </c>
      <c r="Q213">
        <v>12.37</v>
      </c>
      <c r="R213">
        <v>593.76</v>
      </c>
      <c r="S213">
        <v>1632.24</v>
      </c>
    </row>
    <row r="214" spans="12:19" x14ac:dyDescent="0.2">
      <c r="L214" t="s">
        <v>6</v>
      </c>
      <c r="M214" t="s">
        <v>34</v>
      </c>
      <c r="N214" t="s">
        <v>16</v>
      </c>
      <c r="O214" s="39">
        <v>2219</v>
      </c>
      <c r="P214">
        <v>75</v>
      </c>
      <c r="Q214">
        <v>8.7899999999999991</v>
      </c>
      <c r="R214">
        <v>659.24999999999989</v>
      </c>
      <c r="S214">
        <v>1559.75</v>
      </c>
    </row>
    <row r="215" spans="12:19" x14ac:dyDescent="0.2">
      <c r="L215" t="s">
        <v>3</v>
      </c>
      <c r="M215" t="s">
        <v>34</v>
      </c>
      <c r="N215" t="s">
        <v>23</v>
      </c>
      <c r="O215" s="39">
        <v>2212</v>
      </c>
      <c r="P215">
        <v>117</v>
      </c>
      <c r="Q215">
        <v>6.49</v>
      </c>
      <c r="R215">
        <v>759.33</v>
      </c>
      <c r="S215">
        <v>1452.67</v>
      </c>
    </row>
    <row r="216" spans="12:19" x14ac:dyDescent="0.2">
      <c r="L216" t="s">
        <v>10</v>
      </c>
      <c r="M216" t="s">
        <v>38</v>
      </c>
      <c r="N216" t="s">
        <v>22</v>
      </c>
      <c r="O216" s="39">
        <v>2205</v>
      </c>
      <c r="P216">
        <v>141</v>
      </c>
      <c r="Q216">
        <v>9.77</v>
      </c>
      <c r="R216">
        <v>1377.57</v>
      </c>
      <c r="S216">
        <v>827.43000000000006</v>
      </c>
    </row>
    <row r="217" spans="12:19" x14ac:dyDescent="0.2">
      <c r="L217" t="s">
        <v>7</v>
      </c>
      <c r="M217" t="s">
        <v>34</v>
      </c>
      <c r="N217" t="s">
        <v>20</v>
      </c>
      <c r="O217" s="39">
        <v>2205</v>
      </c>
      <c r="P217">
        <v>138</v>
      </c>
      <c r="Q217">
        <v>10.62</v>
      </c>
      <c r="R217">
        <v>1465.56</v>
      </c>
      <c r="S217">
        <v>739.44</v>
      </c>
    </row>
    <row r="218" spans="12:19" x14ac:dyDescent="0.2">
      <c r="L218" t="s">
        <v>7</v>
      </c>
      <c r="M218" t="s">
        <v>36</v>
      </c>
      <c r="N218" t="s">
        <v>31</v>
      </c>
      <c r="O218" s="39">
        <v>2149</v>
      </c>
      <c r="P218">
        <v>117</v>
      </c>
      <c r="Q218">
        <v>5.79</v>
      </c>
      <c r="R218">
        <v>677.43</v>
      </c>
      <c r="S218">
        <v>1471.5700000000002</v>
      </c>
    </row>
    <row r="219" spans="12:19" x14ac:dyDescent="0.2">
      <c r="L219" t="s">
        <v>9</v>
      </c>
      <c r="M219" t="s">
        <v>36</v>
      </c>
      <c r="N219" t="s">
        <v>25</v>
      </c>
      <c r="O219" s="39">
        <v>2142</v>
      </c>
      <c r="P219">
        <v>114</v>
      </c>
      <c r="Q219">
        <v>13.15</v>
      </c>
      <c r="R219">
        <v>1499.1000000000001</v>
      </c>
      <c r="S219">
        <v>642.89999999999986</v>
      </c>
    </row>
    <row r="220" spans="12:19" x14ac:dyDescent="0.2">
      <c r="L220" t="s">
        <v>7</v>
      </c>
      <c r="M220" t="s">
        <v>35</v>
      </c>
      <c r="N220" t="s">
        <v>16</v>
      </c>
      <c r="O220" s="39">
        <v>2135</v>
      </c>
      <c r="P220">
        <v>27</v>
      </c>
      <c r="Q220">
        <v>8.7899999999999991</v>
      </c>
      <c r="R220">
        <v>237.32999999999998</v>
      </c>
      <c r="S220">
        <v>1897.67</v>
      </c>
    </row>
    <row r="221" spans="12:19" x14ac:dyDescent="0.2">
      <c r="L221" t="s">
        <v>41</v>
      </c>
      <c r="M221" t="s">
        <v>35</v>
      </c>
      <c r="N221" t="s">
        <v>15</v>
      </c>
      <c r="O221" s="39">
        <v>2114</v>
      </c>
      <c r="P221">
        <v>186</v>
      </c>
      <c r="Q221">
        <v>11.73</v>
      </c>
      <c r="R221">
        <v>2181.7800000000002</v>
      </c>
      <c r="S221">
        <v>-67.7800000000002</v>
      </c>
    </row>
    <row r="222" spans="12:19" x14ac:dyDescent="0.2">
      <c r="L222" t="s">
        <v>3</v>
      </c>
      <c r="M222" t="s">
        <v>35</v>
      </c>
      <c r="N222" t="s">
        <v>29</v>
      </c>
      <c r="O222" s="39">
        <v>2114</v>
      </c>
      <c r="P222">
        <v>66</v>
      </c>
      <c r="Q222">
        <v>7.16</v>
      </c>
      <c r="R222">
        <v>472.56</v>
      </c>
      <c r="S222">
        <v>1641.44</v>
      </c>
    </row>
    <row r="223" spans="12:19" x14ac:dyDescent="0.2">
      <c r="L223" t="s">
        <v>6</v>
      </c>
      <c r="M223" t="s">
        <v>39</v>
      </c>
      <c r="N223" t="s">
        <v>25</v>
      </c>
      <c r="O223" s="39">
        <v>2100</v>
      </c>
      <c r="P223">
        <v>414</v>
      </c>
      <c r="Q223">
        <v>13.15</v>
      </c>
      <c r="R223">
        <v>5444.1</v>
      </c>
      <c r="S223">
        <v>-3344.1000000000004</v>
      </c>
    </row>
    <row r="224" spans="12:19" x14ac:dyDescent="0.2">
      <c r="L224" t="s">
        <v>8</v>
      </c>
      <c r="M224" t="s">
        <v>35</v>
      </c>
      <c r="N224" t="s">
        <v>29</v>
      </c>
      <c r="O224" s="39">
        <v>2023</v>
      </c>
      <c r="P224">
        <v>168</v>
      </c>
      <c r="Q224">
        <v>7.16</v>
      </c>
      <c r="R224">
        <v>1202.8800000000001</v>
      </c>
      <c r="S224">
        <v>820.11999999999989</v>
      </c>
    </row>
    <row r="225" spans="12:19" x14ac:dyDescent="0.2">
      <c r="L225" t="s">
        <v>3</v>
      </c>
      <c r="M225" t="s">
        <v>35</v>
      </c>
      <c r="N225" t="s">
        <v>23</v>
      </c>
      <c r="O225" s="39">
        <v>2023</v>
      </c>
      <c r="P225">
        <v>78</v>
      </c>
      <c r="Q225">
        <v>6.49</v>
      </c>
      <c r="R225">
        <v>506.22</v>
      </c>
      <c r="S225">
        <v>1516.78</v>
      </c>
    </row>
    <row r="226" spans="12:19" x14ac:dyDescent="0.2">
      <c r="L226" t="s">
        <v>2</v>
      </c>
      <c r="M226" t="s">
        <v>39</v>
      </c>
      <c r="N226" t="s">
        <v>16</v>
      </c>
      <c r="O226" s="39">
        <v>2016</v>
      </c>
      <c r="P226">
        <v>117</v>
      </c>
      <c r="Q226">
        <v>8.7899999999999991</v>
      </c>
      <c r="R226">
        <v>1028.4299999999998</v>
      </c>
      <c r="S226">
        <v>987.57000000000016</v>
      </c>
    </row>
    <row r="227" spans="12:19" x14ac:dyDescent="0.2">
      <c r="L227" t="s">
        <v>8</v>
      </c>
      <c r="M227" t="s">
        <v>34</v>
      </c>
      <c r="N227" t="s">
        <v>16</v>
      </c>
      <c r="O227" s="39">
        <v>2009</v>
      </c>
      <c r="P227">
        <v>219</v>
      </c>
      <c r="Q227">
        <v>8.7899999999999991</v>
      </c>
      <c r="R227">
        <v>1925.0099999999998</v>
      </c>
      <c r="S227">
        <v>83.990000000000236</v>
      </c>
    </row>
    <row r="228" spans="12:19" x14ac:dyDescent="0.2">
      <c r="L228" t="s">
        <v>40</v>
      </c>
      <c r="M228" t="s">
        <v>38</v>
      </c>
      <c r="N228" t="s">
        <v>31</v>
      </c>
      <c r="O228" s="39">
        <v>1988</v>
      </c>
      <c r="P228">
        <v>39</v>
      </c>
      <c r="Q228">
        <v>5.79</v>
      </c>
      <c r="R228">
        <v>225.81</v>
      </c>
      <c r="S228">
        <v>1762.19</v>
      </c>
    </row>
    <row r="229" spans="12:19" x14ac:dyDescent="0.2">
      <c r="L229" t="s">
        <v>10</v>
      </c>
      <c r="M229" t="s">
        <v>35</v>
      </c>
      <c r="N229" t="s">
        <v>20</v>
      </c>
      <c r="O229" s="39">
        <v>1974</v>
      </c>
      <c r="P229">
        <v>195</v>
      </c>
      <c r="Q229">
        <v>10.62</v>
      </c>
      <c r="R229">
        <v>2070.8999999999996</v>
      </c>
      <c r="S229">
        <v>-96.899999999999636</v>
      </c>
    </row>
    <row r="230" spans="12:19" x14ac:dyDescent="0.2">
      <c r="L230" t="s">
        <v>7</v>
      </c>
      <c r="M230" t="s">
        <v>34</v>
      </c>
      <c r="N230" t="s">
        <v>14</v>
      </c>
      <c r="O230" s="39">
        <v>1932</v>
      </c>
      <c r="P230">
        <v>369</v>
      </c>
      <c r="Q230">
        <v>11.7</v>
      </c>
      <c r="R230">
        <v>4317.3</v>
      </c>
      <c r="S230">
        <v>-2385.3000000000002</v>
      </c>
    </row>
    <row r="231" spans="12:19" x14ac:dyDescent="0.2">
      <c r="L231" t="s">
        <v>41</v>
      </c>
      <c r="M231" t="s">
        <v>36</v>
      </c>
      <c r="N231" t="s">
        <v>19</v>
      </c>
      <c r="O231" s="39">
        <v>1925</v>
      </c>
      <c r="P231">
        <v>192</v>
      </c>
      <c r="Q231">
        <v>7.64</v>
      </c>
      <c r="R231">
        <v>1466.8799999999999</v>
      </c>
      <c r="S231">
        <v>458.12000000000012</v>
      </c>
    </row>
    <row r="232" spans="12:19" x14ac:dyDescent="0.2">
      <c r="L232" t="s">
        <v>6</v>
      </c>
      <c r="M232" t="s">
        <v>37</v>
      </c>
      <c r="N232" t="s">
        <v>16</v>
      </c>
      <c r="O232" s="39">
        <v>1904</v>
      </c>
      <c r="P232">
        <v>405</v>
      </c>
      <c r="Q232">
        <v>8.7899999999999991</v>
      </c>
      <c r="R232">
        <v>3559.95</v>
      </c>
      <c r="S232">
        <v>-1655.9499999999998</v>
      </c>
    </row>
    <row r="233" spans="12:19" x14ac:dyDescent="0.2">
      <c r="L233" t="s">
        <v>8</v>
      </c>
      <c r="M233" t="s">
        <v>37</v>
      </c>
      <c r="N233" t="s">
        <v>22</v>
      </c>
      <c r="O233" s="39">
        <v>1890</v>
      </c>
      <c r="P233">
        <v>195</v>
      </c>
      <c r="Q233">
        <v>9.77</v>
      </c>
      <c r="R233">
        <v>1905.1499999999999</v>
      </c>
      <c r="S233">
        <v>-15.149999999999864</v>
      </c>
    </row>
    <row r="234" spans="12:19" x14ac:dyDescent="0.2">
      <c r="L234" t="s">
        <v>2</v>
      </c>
      <c r="M234" t="s">
        <v>39</v>
      </c>
      <c r="N234" t="s">
        <v>25</v>
      </c>
      <c r="O234" s="39">
        <v>1785</v>
      </c>
      <c r="P234">
        <v>462</v>
      </c>
      <c r="Q234">
        <v>13.15</v>
      </c>
      <c r="R234">
        <v>6075.3</v>
      </c>
      <c r="S234">
        <v>-4290.3</v>
      </c>
    </row>
    <row r="235" spans="12:19" x14ac:dyDescent="0.2">
      <c r="L235" t="s">
        <v>7</v>
      </c>
      <c r="M235" t="s">
        <v>38</v>
      </c>
      <c r="N235" t="s">
        <v>18</v>
      </c>
      <c r="O235" s="39">
        <v>1778</v>
      </c>
      <c r="P235">
        <v>270</v>
      </c>
      <c r="Q235">
        <v>6.47</v>
      </c>
      <c r="R235">
        <v>1746.8999999999999</v>
      </c>
      <c r="S235">
        <v>31.100000000000136</v>
      </c>
    </row>
    <row r="236" spans="12:19" x14ac:dyDescent="0.2">
      <c r="L236" t="s">
        <v>8</v>
      </c>
      <c r="M236" t="s">
        <v>37</v>
      </c>
      <c r="N236" t="s">
        <v>19</v>
      </c>
      <c r="O236" s="39">
        <v>1771</v>
      </c>
      <c r="P236">
        <v>204</v>
      </c>
      <c r="Q236">
        <v>7.64</v>
      </c>
      <c r="R236">
        <v>1558.56</v>
      </c>
      <c r="S236">
        <v>212.44000000000005</v>
      </c>
    </row>
    <row r="237" spans="12:19" x14ac:dyDescent="0.2">
      <c r="L237" t="s">
        <v>8</v>
      </c>
      <c r="M237" t="s">
        <v>38</v>
      </c>
      <c r="N237" t="s">
        <v>23</v>
      </c>
      <c r="O237" s="39">
        <v>1701</v>
      </c>
      <c r="P237">
        <v>234</v>
      </c>
      <c r="Q237">
        <v>6.49</v>
      </c>
      <c r="R237">
        <v>1518.66</v>
      </c>
      <c r="S237">
        <v>182.33999999999992</v>
      </c>
    </row>
    <row r="238" spans="12:19" x14ac:dyDescent="0.2">
      <c r="L238" t="s">
        <v>3</v>
      </c>
      <c r="M238" t="s">
        <v>39</v>
      </c>
      <c r="N238" t="s">
        <v>28</v>
      </c>
      <c r="O238" s="39">
        <v>1652</v>
      </c>
      <c r="P238">
        <v>102</v>
      </c>
      <c r="Q238">
        <v>10.38</v>
      </c>
      <c r="R238">
        <v>1058.76</v>
      </c>
      <c r="S238">
        <v>593.24</v>
      </c>
    </row>
    <row r="239" spans="12:19" x14ac:dyDescent="0.2">
      <c r="L239" t="s">
        <v>5</v>
      </c>
      <c r="M239" t="s">
        <v>34</v>
      </c>
      <c r="N239" t="s">
        <v>33</v>
      </c>
      <c r="O239" s="39">
        <v>1652</v>
      </c>
      <c r="P239">
        <v>93</v>
      </c>
      <c r="Q239">
        <v>12.37</v>
      </c>
      <c r="R239">
        <v>1150.4099999999999</v>
      </c>
      <c r="S239">
        <v>501.59000000000015</v>
      </c>
    </row>
    <row r="240" spans="12:19" x14ac:dyDescent="0.2">
      <c r="L240" t="s">
        <v>6</v>
      </c>
      <c r="M240" t="s">
        <v>39</v>
      </c>
      <c r="N240" t="s">
        <v>30</v>
      </c>
      <c r="O240" s="39">
        <v>1638</v>
      </c>
      <c r="P240">
        <v>63</v>
      </c>
      <c r="Q240">
        <v>14.49</v>
      </c>
      <c r="R240">
        <v>912.87</v>
      </c>
      <c r="S240">
        <v>725.13</v>
      </c>
    </row>
    <row r="241" spans="12:19" x14ac:dyDescent="0.2">
      <c r="L241" t="s">
        <v>40</v>
      </c>
      <c r="M241" t="s">
        <v>35</v>
      </c>
      <c r="N241" t="s">
        <v>24</v>
      </c>
      <c r="O241" s="39">
        <v>1638</v>
      </c>
      <c r="P241">
        <v>48</v>
      </c>
      <c r="Q241">
        <v>4.97</v>
      </c>
      <c r="R241">
        <v>238.56</v>
      </c>
      <c r="S241">
        <v>1399.44</v>
      </c>
    </row>
    <row r="242" spans="12:19" x14ac:dyDescent="0.2">
      <c r="L242" t="s">
        <v>40</v>
      </c>
      <c r="M242" t="s">
        <v>37</v>
      </c>
      <c r="N242" t="s">
        <v>30</v>
      </c>
      <c r="O242" s="39">
        <v>1624</v>
      </c>
      <c r="P242">
        <v>114</v>
      </c>
      <c r="Q242">
        <v>14.49</v>
      </c>
      <c r="R242">
        <v>1651.8600000000001</v>
      </c>
      <c r="S242">
        <v>-27.860000000000127</v>
      </c>
    </row>
    <row r="243" spans="12:19" x14ac:dyDescent="0.2">
      <c r="L243" t="s">
        <v>40</v>
      </c>
      <c r="M243" t="s">
        <v>35</v>
      </c>
      <c r="N243" t="s">
        <v>29</v>
      </c>
      <c r="O243" s="39">
        <v>1617</v>
      </c>
      <c r="P243">
        <v>126</v>
      </c>
      <c r="Q243">
        <v>7.16</v>
      </c>
      <c r="R243">
        <v>902.16</v>
      </c>
      <c r="S243">
        <v>714.84</v>
      </c>
    </row>
    <row r="244" spans="12:19" x14ac:dyDescent="0.2">
      <c r="L244" t="s">
        <v>2</v>
      </c>
      <c r="M244" t="s">
        <v>35</v>
      </c>
      <c r="N244" t="s">
        <v>17</v>
      </c>
      <c r="O244" s="39">
        <v>1589</v>
      </c>
      <c r="P244">
        <v>303</v>
      </c>
      <c r="Q244">
        <v>3.11</v>
      </c>
      <c r="R244">
        <v>942.32999999999993</v>
      </c>
      <c r="S244">
        <v>646.67000000000007</v>
      </c>
    </row>
    <row r="245" spans="12:19" x14ac:dyDescent="0.2">
      <c r="L245" t="s">
        <v>2</v>
      </c>
      <c r="M245" t="s">
        <v>39</v>
      </c>
      <c r="N245" t="s">
        <v>22</v>
      </c>
      <c r="O245" s="39">
        <v>1568</v>
      </c>
      <c r="P245">
        <v>141</v>
      </c>
      <c r="Q245">
        <v>9.77</v>
      </c>
      <c r="R245">
        <v>1377.57</v>
      </c>
      <c r="S245">
        <v>190.43000000000006</v>
      </c>
    </row>
    <row r="246" spans="12:19" x14ac:dyDescent="0.2">
      <c r="L246" t="s">
        <v>7</v>
      </c>
      <c r="M246" t="s">
        <v>34</v>
      </c>
      <c r="N246" t="s">
        <v>25</v>
      </c>
      <c r="O246" s="39">
        <v>1568</v>
      </c>
      <c r="P246">
        <v>96</v>
      </c>
      <c r="Q246">
        <v>13.15</v>
      </c>
      <c r="R246">
        <v>1262.4000000000001</v>
      </c>
      <c r="S246">
        <v>305.59999999999991</v>
      </c>
    </row>
    <row r="247" spans="12:19" x14ac:dyDescent="0.2">
      <c r="L247" t="s">
        <v>8</v>
      </c>
      <c r="M247" t="s">
        <v>39</v>
      </c>
      <c r="N247" t="s">
        <v>26</v>
      </c>
      <c r="O247" s="39">
        <v>1561</v>
      </c>
      <c r="P247">
        <v>27</v>
      </c>
      <c r="Q247">
        <v>5.6</v>
      </c>
      <c r="R247">
        <v>151.19999999999999</v>
      </c>
      <c r="S247">
        <v>1409.8</v>
      </c>
    </row>
    <row r="248" spans="12:19" x14ac:dyDescent="0.2">
      <c r="L248" t="s">
        <v>41</v>
      </c>
      <c r="M248" t="s">
        <v>37</v>
      </c>
      <c r="N248" t="s">
        <v>30</v>
      </c>
      <c r="O248" s="39">
        <v>1526</v>
      </c>
      <c r="P248">
        <v>240</v>
      </c>
      <c r="Q248">
        <v>14.49</v>
      </c>
      <c r="R248">
        <v>3477.6</v>
      </c>
      <c r="S248">
        <v>-1951.6</v>
      </c>
    </row>
    <row r="249" spans="12:19" x14ac:dyDescent="0.2">
      <c r="L249" t="s">
        <v>5</v>
      </c>
      <c r="M249" t="s">
        <v>36</v>
      </c>
      <c r="N249" t="s">
        <v>30</v>
      </c>
      <c r="O249" s="39">
        <v>1526</v>
      </c>
      <c r="P249">
        <v>105</v>
      </c>
      <c r="Q249">
        <v>14.49</v>
      </c>
      <c r="R249">
        <v>1521.45</v>
      </c>
      <c r="S249">
        <v>4.5499999999999545</v>
      </c>
    </row>
    <row r="250" spans="12:19" x14ac:dyDescent="0.2">
      <c r="L250" t="s">
        <v>6</v>
      </c>
      <c r="M250" t="s">
        <v>37</v>
      </c>
      <c r="N250" t="s">
        <v>18</v>
      </c>
      <c r="O250" s="39">
        <v>1505</v>
      </c>
      <c r="P250">
        <v>102</v>
      </c>
      <c r="Q250">
        <v>6.47</v>
      </c>
      <c r="R250">
        <v>659.93999999999994</v>
      </c>
      <c r="S250">
        <v>845.06000000000006</v>
      </c>
    </row>
    <row r="251" spans="12:19" x14ac:dyDescent="0.2">
      <c r="L251" t="s">
        <v>41</v>
      </c>
      <c r="M251" t="s">
        <v>34</v>
      </c>
      <c r="N251" t="s">
        <v>17</v>
      </c>
      <c r="O251" s="39">
        <v>1463</v>
      </c>
      <c r="P251">
        <v>39</v>
      </c>
      <c r="Q251">
        <v>3.11</v>
      </c>
      <c r="R251">
        <v>121.28999999999999</v>
      </c>
      <c r="S251">
        <v>1341.71</v>
      </c>
    </row>
    <row r="252" spans="12:19" x14ac:dyDescent="0.2">
      <c r="L252" t="s">
        <v>6</v>
      </c>
      <c r="M252" t="s">
        <v>34</v>
      </c>
      <c r="N252" t="s">
        <v>15</v>
      </c>
      <c r="O252" s="39">
        <v>1442</v>
      </c>
      <c r="P252">
        <v>15</v>
      </c>
      <c r="Q252">
        <v>11.73</v>
      </c>
      <c r="R252">
        <v>175.95000000000002</v>
      </c>
      <c r="S252">
        <v>1266.05</v>
      </c>
    </row>
    <row r="253" spans="12:19" x14ac:dyDescent="0.2">
      <c r="L253" t="s">
        <v>10</v>
      </c>
      <c r="M253" t="s">
        <v>34</v>
      </c>
      <c r="N253" t="s">
        <v>25</v>
      </c>
      <c r="O253" s="39">
        <v>1428</v>
      </c>
      <c r="P253">
        <v>93</v>
      </c>
      <c r="Q253">
        <v>13.15</v>
      </c>
      <c r="R253">
        <v>1222.95</v>
      </c>
      <c r="S253">
        <v>205.04999999999995</v>
      </c>
    </row>
    <row r="254" spans="12:19" x14ac:dyDescent="0.2">
      <c r="L254" t="s">
        <v>10</v>
      </c>
      <c r="M254" t="s">
        <v>36</v>
      </c>
      <c r="N254" t="s">
        <v>27</v>
      </c>
      <c r="O254" s="39">
        <v>1407</v>
      </c>
      <c r="P254">
        <v>72</v>
      </c>
      <c r="Q254">
        <v>16.73</v>
      </c>
      <c r="R254">
        <v>1204.56</v>
      </c>
      <c r="S254">
        <v>202.44000000000005</v>
      </c>
    </row>
    <row r="255" spans="12:19" x14ac:dyDescent="0.2">
      <c r="L255" t="s">
        <v>6</v>
      </c>
      <c r="M255" t="s">
        <v>36</v>
      </c>
      <c r="N255" t="s">
        <v>29</v>
      </c>
      <c r="O255" s="39">
        <v>1400</v>
      </c>
      <c r="P255">
        <v>135</v>
      </c>
      <c r="Q255">
        <v>7.16</v>
      </c>
      <c r="R255">
        <v>966.6</v>
      </c>
      <c r="S255">
        <v>433.4</v>
      </c>
    </row>
    <row r="256" spans="12:19" x14ac:dyDescent="0.2">
      <c r="L256" t="s">
        <v>6</v>
      </c>
      <c r="M256" t="s">
        <v>35</v>
      </c>
      <c r="N256" t="s">
        <v>4</v>
      </c>
      <c r="O256" s="39">
        <v>1302</v>
      </c>
      <c r="P256">
        <v>402</v>
      </c>
      <c r="Q256">
        <v>11.88</v>
      </c>
      <c r="R256">
        <v>4775.76</v>
      </c>
      <c r="S256">
        <v>-3473.76</v>
      </c>
    </row>
    <row r="257" spans="12:19" x14ac:dyDescent="0.2">
      <c r="L257" t="s">
        <v>7</v>
      </c>
      <c r="M257" t="s">
        <v>38</v>
      </c>
      <c r="N257" t="s">
        <v>14</v>
      </c>
      <c r="O257" s="39">
        <v>1281</v>
      </c>
      <c r="P257">
        <v>75</v>
      </c>
      <c r="Q257">
        <v>11.7</v>
      </c>
      <c r="R257">
        <v>877.5</v>
      </c>
      <c r="S257">
        <v>403.5</v>
      </c>
    </row>
    <row r="258" spans="12:19" x14ac:dyDescent="0.2">
      <c r="L258" t="s">
        <v>3</v>
      </c>
      <c r="M258" t="s">
        <v>36</v>
      </c>
      <c r="N258" t="s">
        <v>19</v>
      </c>
      <c r="O258" s="39">
        <v>1281</v>
      </c>
      <c r="P258">
        <v>18</v>
      </c>
      <c r="Q258">
        <v>7.64</v>
      </c>
      <c r="R258">
        <v>137.51999999999998</v>
      </c>
      <c r="S258">
        <v>1143.48</v>
      </c>
    </row>
    <row r="259" spans="12:19" x14ac:dyDescent="0.2">
      <c r="L259" t="s">
        <v>41</v>
      </c>
      <c r="M259" t="s">
        <v>34</v>
      </c>
      <c r="N259" t="s">
        <v>16</v>
      </c>
      <c r="O259" s="39">
        <v>1274</v>
      </c>
      <c r="P259">
        <v>225</v>
      </c>
      <c r="Q259">
        <v>8.7899999999999991</v>
      </c>
      <c r="R259">
        <v>1977.7499999999998</v>
      </c>
      <c r="S259">
        <v>-703.74999999999977</v>
      </c>
    </row>
    <row r="260" spans="12:19" x14ac:dyDescent="0.2">
      <c r="L260" t="s">
        <v>6</v>
      </c>
      <c r="M260" t="s">
        <v>38</v>
      </c>
      <c r="N260" t="s">
        <v>27</v>
      </c>
      <c r="O260" s="39">
        <v>1134</v>
      </c>
      <c r="P260">
        <v>282</v>
      </c>
      <c r="Q260">
        <v>16.73</v>
      </c>
      <c r="R260">
        <v>4717.8599999999997</v>
      </c>
      <c r="S260">
        <v>-3583.8599999999997</v>
      </c>
    </row>
    <row r="261" spans="12:19" x14ac:dyDescent="0.2">
      <c r="L261" t="s">
        <v>9</v>
      </c>
      <c r="M261" t="s">
        <v>37</v>
      </c>
      <c r="N261" t="s">
        <v>29</v>
      </c>
      <c r="O261" s="39">
        <v>1085</v>
      </c>
      <c r="P261">
        <v>273</v>
      </c>
      <c r="Q261">
        <v>7.16</v>
      </c>
      <c r="R261">
        <v>1954.68</v>
      </c>
      <c r="S261">
        <v>-869.68000000000006</v>
      </c>
    </row>
    <row r="262" spans="12:19" x14ac:dyDescent="0.2">
      <c r="L262" t="s">
        <v>6</v>
      </c>
      <c r="M262" t="s">
        <v>35</v>
      </c>
      <c r="N262" t="s">
        <v>20</v>
      </c>
      <c r="O262" s="39">
        <v>1071</v>
      </c>
      <c r="P262">
        <v>270</v>
      </c>
      <c r="Q262">
        <v>10.62</v>
      </c>
      <c r="R262">
        <v>2867.3999999999996</v>
      </c>
      <c r="S262">
        <v>-1796.3999999999996</v>
      </c>
    </row>
    <row r="263" spans="12:19" x14ac:dyDescent="0.2">
      <c r="L263" t="s">
        <v>2</v>
      </c>
      <c r="M263" t="s">
        <v>37</v>
      </c>
      <c r="N263" t="s">
        <v>14</v>
      </c>
      <c r="O263" s="39">
        <v>1057</v>
      </c>
      <c r="P263">
        <v>54</v>
      </c>
      <c r="Q263">
        <v>11.7</v>
      </c>
      <c r="R263">
        <v>631.79999999999995</v>
      </c>
      <c r="S263">
        <v>425.20000000000005</v>
      </c>
    </row>
    <row r="264" spans="12:19" x14ac:dyDescent="0.2">
      <c r="L264" t="s">
        <v>3</v>
      </c>
      <c r="M264" t="s">
        <v>36</v>
      </c>
      <c r="N264" t="s">
        <v>28</v>
      </c>
      <c r="O264" s="39">
        <v>973</v>
      </c>
      <c r="P264">
        <v>162</v>
      </c>
      <c r="Q264">
        <v>10.38</v>
      </c>
      <c r="R264">
        <v>1681.5600000000002</v>
      </c>
      <c r="S264">
        <v>-708.56000000000017</v>
      </c>
    </row>
    <row r="265" spans="12:19" x14ac:dyDescent="0.2">
      <c r="L265" t="s">
        <v>7</v>
      </c>
      <c r="M265" t="s">
        <v>39</v>
      </c>
      <c r="N265" t="s">
        <v>27</v>
      </c>
      <c r="O265" s="39">
        <v>966</v>
      </c>
      <c r="P265">
        <v>198</v>
      </c>
      <c r="Q265">
        <v>16.73</v>
      </c>
      <c r="R265">
        <v>3312.54</v>
      </c>
      <c r="S265">
        <v>-2346.54</v>
      </c>
    </row>
    <row r="266" spans="12:19" x14ac:dyDescent="0.2">
      <c r="L266" t="s">
        <v>9</v>
      </c>
      <c r="M266" t="s">
        <v>35</v>
      </c>
      <c r="N266" t="s">
        <v>4</v>
      </c>
      <c r="O266" s="39">
        <v>959</v>
      </c>
      <c r="P266">
        <v>147</v>
      </c>
      <c r="Q266">
        <v>11.88</v>
      </c>
      <c r="R266">
        <v>1746.3600000000001</v>
      </c>
      <c r="S266">
        <v>-787.36000000000013</v>
      </c>
    </row>
    <row r="267" spans="12:19" x14ac:dyDescent="0.2">
      <c r="L267" t="s">
        <v>6</v>
      </c>
      <c r="M267" t="s">
        <v>38</v>
      </c>
      <c r="N267" t="s">
        <v>33</v>
      </c>
      <c r="O267" s="39">
        <v>959</v>
      </c>
      <c r="P267">
        <v>135</v>
      </c>
      <c r="Q267">
        <v>12.37</v>
      </c>
      <c r="R267">
        <v>1669.9499999999998</v>
      </c>
      <c r="S267">
        <v>-710.94999999999982</v>
      </c>
    </row>
    <row r="268" spans="12:19" x14ac:dyDescent="0.2">
      <c r="L268" t="s">
        <v>10</v>
      </c>
      <c r="M268" t="s">
        <v>36</v>
      </c>
      <c r="N268" t="s">
        <v>13</v>
      </c>
      <c r="O268" s="39">
        <v>945</v>
      </c>
      <c r="P268">
        <v>75</v>
      </c>
      <c r="Q268">
        <v>9.33</v>
      </c>
      <c r="R268">
        <v>699.75</v>
      </c>
      <c r="S268">
        <v>245.25</v>
      </c>
    </row>
    <row r="269" spans="12:19" x14ac:dyDescent="0.2">
      <c r="L269" t="s">
        <v>6</v>
      </c>
      <c r="M269" t="s">
        <v>38</v>
      </c>
      <c r="N269" t="s">
        <v>16</v>
      </c>
      <c r="O269" s="39">
        <v>938</v>
      </c>
      <c r="P269">
        <v>6</v>
      </c>
      <c r="Q269">
        <v>8.7899999999999991</v>
      </c>
      <c r="R269">
        <v>52.739999999999995</v>
      </c>
      <c r="S269">
        <v>885.26</v>
      </c>
    </row>
    <row r="270" spans="12:19" x14ac:dyDescent="0.2">
      <c r="L270" t="s">
        <v>3</v>
      </c>
      <c r="M270" t="s">
        <v>37</v>
      </c>
      <c r="N270" t="s">
        <v>4</v>
      </c>
      <c r="O270" s="39">
        <v>938</v>
      </c>
      <c r="P270">
        <v>366</v>
      </c>
      <c r="Q270">
        <v>11.88</v>
      </c>
      <c r="R270">
        <v>4348.08</v>
      </c>
      <c r="S270">
        <v>-3410.08</v>
      </c>
    </row>
    <row r="271" spans="12:19" x14ac:dyDescent="0.2">
      <c r="L271" t="s">
        <v>9</v>
      </c>
      <c r="M271" t="s">
        <v>34</v>
      </c>
      <c r="N271" t="s">
        <v>16</v>
      </c>
      <c r="O271" s="39">
        <v>938</v>
      </c>
      <c r="P271">
        <v>189</v>
      </c>
      <c r="Q271">
        <v>8.7899999999999991</v>
      </c>
      <c r="R271">
        <v>1661.31</v>
      </c>
      <c r="S271">
        <v>-723.31</v>
      </c>
    </row>
    <row r="272" spans="12:19" x14ac:dyDescent="0.2">
      <c r="L272" t="s">
        <v>5</v>
      </c>
      <c r="M272" t="s">
        <v>34</v>
      </c>
      <c r="N272" t="s">
        <v>19</v>
      </c>
      <c r="O272" s="39">
        <v>861</v>
      </c>
      <c r="P272">
        <v>195</v>
      </c>
      <c r="Q272">
        <v>7.64</v>
      </c>
      <c r="R272">
        <v>1489.8</v>
      </c>
      <c r="S272">
        <v>-628.79999999999995</v>
      </c>
    </row>
    <row r="273" spans="12:19" x14ac:dyDescent="0.2">
      <c r="L273" t="s">
        <v>41</v>
      </c>
      <c r="M273" t="s">
        <v>36</v>
      </c>
      <c r="N273" t="s">
        <v>28</v>
      </c>
      <c r="O273" s="39">
        <v>854</v>
      </c>
      <c r="P273">
        <v>309</v>
      </c>
      <c r="Q273">
        <v>10.38</v>
      </c>
      <c r="R273">
        <v>3207.42</v>
      </c>
      <c r="S273">
        <v>-2353.42</v>
      </c>
    </row>
    <row r="274" spans="12:19" x14ac:dyDescent="0.2">
      <c r="L274" t="s">
        <v>41</v>
      </c>
      <c r="M274" t="s">
        <v>35</v>
      </c>
      <c r="N274" t="s">
        <v>27</v>
      </c>
      <c r="O274" s="39">
        <v>847</v>
      </c>
      <c r="P274">
        <v>129</v>
      </c>
      <c r="Q274">
        <v>16.73</v>
      </c>
      <c r="R274">
        <v>2158.17</v>
      </c>
      <c r="S274">
        <v>-1311.17</v>
      </c>
    </row>
    <row r="275" spans="12:19" x14ac:dyDescent="0.2">
      <c r="L275" t="s">
        <v>8</v>
      </c>
      <c r="M275" t="s">
        <v>38</v>
      </c>
      <c r="N275" t="s">
        <v>13</v>
      </c>
      <c r="O275" s="39">
        <v>819</v>
      </c>
      <c r="P275">
        <v>510</v>
      </c>
      <c r="Q275">
        <v>9.33</v>
      </c>
      <c r="R275">
        <v>4758.3</v>
      </c>
      <c r="S275">
        <v>-3939.3</v>
      </c>
    </row>
    <row r="276" spans="12:19" x14ac:dyDescent="0.2">
      <c r="L276" t="s">
        <v>3</v>
      </c>
      <c r="M276" t="s">
        <v>35</v>
      </c>
      <c r="N276" t="s">
        <v>33</v>
      </c>
      <c r="O276" s="39">
        <v>819</v>
      </c>
      <c r="P276">
        <v>306</v>
      </c>
      <c r="Q276">
        <v>12.37</v>
      </c>
      <c r="R276">
        <v>3785.22</v>
      </c>
      <c r="S276">
        <v>-2966.22</v>
      </c>
    </row>
    <row r="277" spans="12:19" x14ac:dyDescent="0.2">
      <c r="L277" t="s">
        <v>2</v>
      </c>
      <c r="M277" t="s">
        <v>36</v>
      </c>
      <c r="N277" t="s">
        <v>27</v>
      </c>
      <c r="O277" s="39">
        <v>798</v>
      </c>
      <c r="P277">
        <v>519</v>
      </c>
      <c r="Q277">
        <v>16.73</v>
      </c>
      <c r="R277">
        <v>8682.8700000000008</v>
      </c>
      <c r="S277">
        <v>-7884.8700000000008</v>
      </c>
    </row>
    <row r="278" spans="12:19" x14ac:dyDescent="0.2">
      <c r="L278" t="s">
        <v>41</v>
      </c>
      <c r="M278" t="s">
        <v>37</v>
      </c>
      <c r="N278" t="s">
        <v>15</v>
      </c>
      <c r="O278" s="39">
        <v>714</v>
      </c>
      <c r="P278">
        <v>231</v>
      </c>
      <c r="Q278">
        <v>11.73</v>
      </c>
      <c r="R278">
        <v>2709.63</v>
      </c>
      <c r="S278">
        <v>-1995.63</v>
      </c>
    </row>
    <row r="279" spans="12:19" x14ac:dyDescent="0.2">
      <c r="L279" t="s">
        <v>9</v>
      </c>
      <c r="M279" t="s">
        <v>34</v>
      </c>
      <c r="N279" t="s">
        <v>17</v>
      </c>
      <c r="O279" s="39">
        <v>707</v>
      </c>
      <c r="P279">
        <v>174</v>
      </c>
      <c r="Q279">
        <v>3.11</v>
      </c>
      <c r="R279">
        <v>541.14</v>
      </c>
      <c r="S279">
        <v>165.86</v>
      </c>
    </row>
    <row r="280" spans="12:19" x14ac:dyDescent="0.2">
      <c r="L280" t="s">
        <v>10</v>
      </c>
      <c r="M280" t="s">
        <v>34</v>
      </c>
      <c r="N280" t="s">
        <v>17</v>
      </c>
      <c r="O280" s="39">
        <v>700</v>
      </c>
      <c r="P280">
        <v>87</v>
      </c>
      <c r="Q280">
        <v>3.11</v>
      </c>
      <c r="R280">
        <v>270.57</v>
      </c>
      <c r="S280">
        <v>429.43</v>
      </c>
    </row>
    <row r="281" spans="12:19" x14ac:dyDescent="0.2">
      <c r="L281" t="s">
        <v>2</v>
      </c>
      <c r="M281" t="s">
        <v>39</v>
      </c>
      <c r="N281" t="s">
        <v>23</v>
      </c>
      <c r="O281" s="39">
        <v>630</v>
      </c>
      <c r="P281">
        <v>36</v>
      </c>
      <c r="Q281">
        <v>6.49</v>
      </c>
      <c r="R281">
        <v>233.64000000000001</v>
      </c>
      <c r="S281">
        <v>396.36</v>
      </c>
    </row>
    <row r="282" spans="12:19" x14ac:dyDescent="0.2">
      <c r="L282" t="s">
        <v>40</v>
      </c>
      <c r="M282" t="s">
        <v>38</v>
      </c>
      <c r="N282" t="s">
        <v>24</v>
      </c>
      <c r="O282" s="39">
        <v>623</v>
      </c>
      <c r="P282">
        <v>51</v>
      </c>
      <c r="Q282">
        <v>4.97</v>
      </c>
      <c r="R282">
        <v>253.47</v>
      </c>
      <c r="S282">
        <v>369.53</v>
      </c>
    </row>
    <row r="283" spans="12:19" x14ac:dyDescent="0.2">
      <c r="L283" t="s">
        <v>41</v>
      </c>
      <c r="M283" t="s">
        <v>35</v>
      </c>
      <c r="N283" t="s">
        <v>19</v>
      </c>
      <c r="O283" s="39">
        <v>609</v>
      </c>
      <c r="P283">
        <v>99</v>
      </c>
      <c r="Q283">
        <v>7.64</v>
      </c>
      <c r="R283">
        <v>756.36</v>
      </c>
      <c r="S283">
        <v>-147.36000000000001</v>
      </c>
    </row>
    <row r="284" spans="12:19" x14ac:dyDescent="0.2">
      <c r="L284" t="s">
        <v>40</v>
      </c>
      <c r="M284" t="s">
        <v>38</v>
      </c>
      <c r="N284" t="s">
        <v>26</v>
      </c>
      <c r="O284" s="39">
        <v>609</v>
      </c>
      <c r="P284">
        <v>87</v>
      </c>
      <c r="Q284">
        <v>5.6</v>
      </c>
      <c r="R284">
        <v>487.2</v>
      </c>
      <c r="S284">
        <v>121.80000000000001</v>
      </c>
    </row>
    <row r="285" spans="12:19" x14ac:dyDescent="0.2">
      <c r="L285" t="s">
        <v>10</v>
      </c>
      <c r="M285" t="s">
        <v>35</v>
      </c>
      <c r="N285" t="s">
        <v>21</v>
      </c>
      <c r="O285" s="39">
        <v>567</v>
      </c>
      <c r="P285">
        <v>228</v>
      </c>
      <c r="Q285">
        <v>9</v>
      </c>
      <c r="R285">
        <v>2052</v>
      </c>
      <c r="S285">
        <v>-1485</v>
      </c>
    </row>
    <row r="286" spans="12:19" x14ac:dyDescent="0.2">
      <c r="L286" t="s">
        <v>6</v>
      </c>
      <c r="M286" t="s">
        <v>37</v>
      </c>
      <c r="N286" t="s">
        <v>30</v>
      </c>
      <c r="O286" s="39">
        <v>560</v>
      </c>
      <c r="P286">
        <v>81</v>
      </c>
      <c r="Q286">
        <v>14.49</v>
      </c>
      <c r="R286">
        <v>1173.69</v>
      </c>
      <c r="S286">
        <v>-613.69000000000005</v>
      </c>
    </row>
    <row r="287" spans="12:19" x14ac:dyDescent="0.2">
      <c r="L287" t="s">
        <v>2</v>
      </c>
      <c r="M287" t="s">
        <v>35</v>
      </c>
      <c r="N287" t="s">
        <v>19</v>
      </c>
      <c r="O287" s="39">
        <v>553</v>
      </c>
      <c r="P287">
        <v>15</v>
      </c>
      <c r="Q287">
        <v>7.64</v>
      </c>
      <c r="R287">
        <v>114.6</v>
      </c>
      <c r="S287">
        <v>438.4</v>
      </c>
    </row>
    <row r="288" spans="12:19" x14ac:dyDescent="0.2">
      <c r="L288" t="s">
        <v>6</v>
      </c>
      <c r="M288" t="s">
        <v>34</v>
      </c>
      <c r="N288" t="s">
        <v>4</v>
      </c>
      <c r="O288" s="39">
        <v>525</v>
      </c>
      <c r="P288">
        <v>48</v>
      </c>
      <c r="Q288">
        <v>11.88</v>
      </c>
      <c r="R288">
        <v>570.24</v>
      </c>
      <c r="S288">
        <v>-45.240000000000009</v>
      </c>
    </row>
    <row r="289" spans="12:19" x14ac:dyDescent="0.2">
      <c r="L289" t="s">
        <v>5</v>
      </c>
      <c r="M289" t="s">
        <v>37</v>
      </c>
      <c r="N289" t="s">
        <v>22</v>
      </c>
      <c r="O289" s="39">
        <v>518</v>
      </c>
      <c r="P289">
        <v>75</v>
      </c>
      <c r="Q289">
        <v>9.77</v>
      </c>
      <c r="R289">
        <v>732.75</v>
      </c>
      <c r="S289">
        <v>-214.75</v>
      </c>
    </row>
    <row r="290" spans="12:19" x14ac:dyDescent="0.2">
      <c r="L290" t="s">
        <v>6</v>
      </c>
      <c r="M290" t="s">
        <v>36</v>
      </c>
      <c r="N290" t="s">
        <v>21</v>
      </c>
      <c r="O290" s="39">
        <v>497</v>
      </c>
      <c r="P290">
        <v>63</v>
      </c>
      <c r="Q290">
        <v>9</v>
      </c>
      <c r="R290">
        <v>567</v>
      </c>
      <c r="S290">
        <v>-70</v>
      </c>
    </row>
    <row r="291" spans="12:19" x14ac:dyDescent="0.2">
      <c r="L291" t="s">
        <v>5</v>
      </c>
      <c r="M291" t="s">
        <v>35</v>
      </c>
      <c r="N291" t="s">
        <v>22</v>
      </c>
      <c r="O291" s="39">
        <v>490</v>
      </c>
      <c r="P291">
        <v>84</v>
      </c>
      <c r="Q291">
        <v>9.77</v>
      </c>
      <c r="R291">
        <v>820.68</v>
      </c>
      <c r="S291">
        <v>-330.67999999999995</v>
      </c>
    </row>
    <row r="292" spans="12:19" x14ac:dyDescent="0.2">
      <c r="L292" t="s">
        <v>6</v>
      </c>
      <c r="M292" t="s">
        <v>38</v>
      </c>
      <c r="N292" t="s">
        <v>25</v>
      </c>
      <c r="O292" s="39">
        <v>469</v>
      </c>
      <c r="P292">
        <v>75</v>
      </c>
      <c r="Q292">
        <v>13.15</v>
      </c>
      <c r="R292">
        <v>986.25</v>
      </c>
      <c r="S292">
        <v>-517.25</v>
      </c>
    </row>
    <row r="293" spans="12:19" x14ac:dyDescent="0.2">
      <c r="L293" t="s">
        <v>8</v>
      </c>
      <c r="M293" t="s">
        <v>37</v>
      </c>
      <c r="N293" t="s">
        <v>21</v>
      </c>
      <c r="O293" s="39">
        <v>434</v>
      </c>
      <c r="P293">
        <v>87</v>
      </c>
      <c r="Q293">
        <v>9</v>
      </c>
      <c r="R293">
        <v>783</v>
      </c>
      <c r="S293">
        <v>-349</v>
      </c>
    </row>
    <row r="294" spans="12:19" x14ac:dyDescent="0.2">
      <c r="L294" t="s">
        <v>5</v>
      </c>
      <c r="M294" t="s">
        <v>39</v>
      </c>
      <c r="N294" t="s">
        <v>18</v>
      </c>
      <c r="O294" s="39">
        <v>385</v>
      </c>
      <c r="P294">
        <v>249</v>
      </c>
      <c r="Q294">
        <v>6.47</v>
      </c>
      <c r="R294">
        <v>1611.03</v>
      </c>
      <c r="S294">
        <v>-1226.03</v>
      </c>
    </row>
    <row r="295" spans="12:19" x14ac:dyDescent="0.2">
      <c r="L295" t="s">
        <v>8</v>
      </c>
      <c r="M295" t="s">
        <v>35</v>
      </c>
      <c r="N295" t="s">
        <v>33</v>
      </c>
      <c r="O295" s="39">
        <v>357</v>
      </c>
      <c r="P295">
        <v>126</v>
      </c>
      <c r="Q295">
        <v>12.37</v>
      </c>
      <c r="R295">
        <v>1558.62</v>
      </c>
      <c r="S295">
        <v>-1201.6199999999999</v>
      </c>
    </row>
    <row r="296" spans="12:19" x14ac:dyDescent="0.2">
      <c r="L296" t="s">
        <v>41</v>
      </c>
      <c r="M296" t="s">
        <v>34</v>
      </c>
      <c r="N296" t="s">
        <v>22</v>
      </c>
      <c r="O296" s="39">
        <v>336</v>
      </c>
      <c r="P296">
        <v>144</v>
      </c>
      <c r="Q296">
        <v>9.77</v>
      </c>
      <c r="R296">
        <v>1406.8799999999999</v>
      </c>
      <c r="S296">
        <v>-1070.8799999999999</v>
      </c>
    </row>
    <row r="297" spans="12:19" x14ac:dyDescent="0.2">
      <c r="L297" t="s">
        <v>7</v>
      </c>
      <c r="M297" t="s">
        <v>36</v>
      </c>
      <c r="N297" t="s">
        <v>32</v>
      </c>
      <c r="O297" s="39">
        <v>280</v>
      </c>
      <c r="P297">
        <v>87</v>
      </c>
      <c r="Q297">
        <v>8.65</v>
      </c>
      <c r="R297">
        <v>752.55000000000007</v>
      </c>
      <c r="S297">
        <v>-472.55000000000007</v>
      </c>
    </row>
    <row r="298" spans="12:19" x14ac:dyDescent="0.2">
      <c r="L298" t="s">
        <v>9</v>
      </c>
      <c r="M298" t="s">
        <v>37</v>
      </c>
      <c r="N298" t="s">
        <v>4</v>
      </c>
      <c r="O298" s="39">
        <v>259</v>
      </c>
      <c r="P298">
        <v>207</v>
      </c>
      <c r="Q298">
        <v>11.88</v>
      </c>
      <c r="R298">
        <v>2459.1600000000003</v>
      </c>
      <c r="S298">
        <v>-2200.1600000000003</v>
      </c>
    </row>
    <row r="299" spans="12:19" x14ac:dyDescent="0.2">
      <c r="L299" t="s">
        <v>2</v>
      </c>
      <c r="M299" t="s">
        <v>34</v>
      </c>
      <c r="N299" t="s">
        <v>13</v>
      </c>
      <c r="O299" s="39">
        <v>252</v>
      </c>
      <c r="P299">
        <v>54</v>
      </c>
      <c r="Q299">
        <v>9.33</v>
      </c>
      <c r="R299">
        <v>503.82</v>
      </c>
      <c r="S299">
        <v>-251.82</v>
      </c>
    </row>
    <row r="300" spans="12:19" x14ac:dyDescent="0.2">
      <c r="L300" t="s">
        <v>10</v>
      </c>
      <c r="M300" t="s">
        <v>37</v>
      </c>
      <c r="N300" t="s">
        <v>21</v>
      </c>
      <c r="O300" s="39">
        <v>245</v>
      </c>
      <c r="P300">
        <v>288</v>
      </c>
      <c r="Q300">
        <v>9</v>
      </c>
      <c r="R300">
        <v>2592</v>
      </c>
      <c r="S300">
        <v>-2347</v>
      </c>
    </row>
    <row r="301" spans="12:19" x14ac:dyDescent="0.2">
      <c r="L301" t="s">
        <v>2</v>
      </c>
      <c r="M301" t="s">
        <v>37</v>
      </c>
      <c r="N301" t="s">
        <v>19</v>
      </c>
      <c r="O301" s="39">
        <v>238</v>
      </c>
      <c r="P301">
        <v>18</v>
      </c>
      <c r="Q301">
        <v>7.64</v>
      </c>
      <c r="R301">
        <v>137.51999999999998</v>
      </c>
      <c r="S301">
        <v>100.48000000000002</v>
      </c>
    </row>
    <row r="302" spans="12:19" x14ac:dyDescent="0.2">
      <c r="L302" t="s">
        <v>40</v>
      </c>
      <c r="M302" t="s">
        <v>36</v>
      </c>
      <c r="N302" t="s">
        <v>4</v>
      </c>
      <c r="O302" s="39">
        <v>217</v>
      </c>
      <c r="P302">
        <v>36</v>
      </c>
      <c r="Q302">
        <v>11.88</v>
      </c>
      <c r="R302">
        <v>427.68</v>
      </c>
      <c r="S302">
        <v>-210.68</v>
      </c>
    </row>
    <row r="303" spans="12:19" x14ac:dyDescent="0.2">
      <c r="L303" t="s">
        <v>2</v>
      </c>
      <c r="M303" t="s">
        <v>36</v>
      </c>
      <c r="N303" t="s">
        <v>17</v>
      </c>
      <c r="O303" s="39">
        <v>189</v>
      </c>
      <c r="P303">
        <v>48</v>
      </c>
      <c r="Q303">
        <v>3.11</v>
      </c>
      <c r="R303">
        <v>149.28</v>
      </c>
      <c r="S303">
        <v>39.72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EB3-BB40-451B-99B8-DF4A33E06D70}">
  <dimension ref="A1:Z304"/>
  <sheetViews>
    <sheetView zoomScale="85" zoomScaleNormal="85" workbookViewId="0">
      <selection activeCell="V16" sqref="V16"/>
    </sheetView>
  </sheetViews>
  <sheetFormatPr baseColWidth="10" defaultColWidth="8.83203125" defaultRowHeight="15" x14ac:dyDescent="0.2"/>
  <cols>
    <col min="2" max="2" width="20.1640625" customWidth="1"/>
    <col min="3" max="3" width="17.6640625" customWidth="1"/>
    <col min="4" max="4" width="12.33203125" bestFit="1" customWidth="1"/>
    <col min="5" max="5" width="8.33203125" customWidth="1"/>
    <col min="6" max="6" width="10.5" bestFit="1" customWidth="1"/>
    <col min="11" max="11" width="21.33203125" customWidth="1"/>
    <col min="12" max="12" width="14.6640625" customWidth="1"/>
    <col min="13" max="13" width="20.1640625" customWidth="1"/>
    <col min="14" max="14" width="15" customWidth="1"/>
    <col min="18" max="18" width="13.33203125" customWidth="1"/>
    <col min="21" max="21" width="15.6640625" customWidth="1"/>
    <col min="22" max="22" width="13.33203125" style="39" customWidth="1"/>
    <col min="23" max="23" width="11.6640625" customWidth="1"/>
    <col min="24" max="24" width="11.5" customWidth="1"/>
    <col min="25" max="25" width="12.1640625" customWidth="1"/>
    <col min="26" max="26" width="11.6640625" customWidth="1"/>
  </cols>
  <sheetData>
    <row r="1" spans="1:26" s="1" customFormat="1" ht="52.5" customHeight="1" x14ac:dyDescent="0.2">
      <c r="A1" s="11"/>
      <c r="C1" s="2" t="s">
        <v>64</v>
      </c>
      <c r="V1" s="38"/>
    </row>
    <row r="4" spans="1:26" x14ac:dyDescent="0.2">
      <c r="C4" s="13" t="s">
        <v>65</v>
      </c>
      <c r="D4" s="13" t="s">
        <v>1</v>
      </c>
      <c r="E4" s="13"/>
      <c r="F4" s="13" t="s">
        <v>49</v>
      </c>
      <c r="K4" t="s">
        <v>11</v>
      </c>
      <c r="L4" t="s">
        <v>12</v>
      </c>
      <c r="M4" t="s">
        <v>0</v>
      </c>
      <c r="N4" s="39" t="s">
        <v>1</v>
      </c>
      <c r="O4" t="s">
        <v>49</v>
      </c>
      <c r="P4" t="s">
        <v>79</v>
      </c>
      <c r="Q4" t="s">
        <v>80</v>
      </c>
      <c r="R4" t="s">
        <v>89</v>
      </c>
    </row>
    <row r="5" spans="1:26" x14ac:dyDescent="0.2">
      <c r="C5" s="14" t="str" cm="1">
        <f t="array" ref="C5:C10">_xlfn.UNIQUE(data[Geography])</f>
        <v>Canada</v>
      </c>
      <c r="D5" s="15">
        <f>SUMIFS(data[Amount],data[Geography],C5)</f>
        <v>237944</v>
      </c>
      <c r="E5" s="15">
        <f>D5</f>
        <v>237944</v>
      </c>
      <c r="F5" s="16">
        <f>SUMIFS(data[Units],data[Geography],C5)</f>
        <v>7302</v>
      </c>
      <c r="K5" t="s">
        <v>5</v>
      </c>
      <c r="L5" t="s">
        <v>37</v>
      </c>
      <c r="M5" t="s">
        <v>31</v>
      </c>
      <c r="N5" s="39">
        <v>182</v>
      </c>
      <c r="O5">
        <v>48</v>
      </c>
      <c r="P5">
        <v>5.79</v>
      </c>
      <c r="Q5">
        <v>277.92</v>
      </c>
      <c r="R5">
        <v>-95.920000000000016</v>
      </c>
    </row>
    <row r="6" spans="1:26" x14ac:dyDescent="0.2">
      <c r="C6" s="14" t="str">
        <v>Australia</v>
      </c>
      <c r="D6" s="15">
        <f>SUMIFS(data[Amount],data[Geography],C6)</f>
        <v>168679</v>
      </c>
      <c r="E6" s="15">
        <f t="shared" ref="E6:E10" si="0">D6</f>
        <v>168679</v>
      </c>
      <c r="F6" s="16">
        <f>SUMIFS(data[Units],data[Geography],C6)</f>
        <v>6264</v>
      </c>
      <c r="K6" t="s">
        <v>8</v>
      </c>
      <c r="L6" t="s">
        <v>38</v>
      </c>
      <c r="M6" t="s">
        <v>22</v>
      </c>
      <c r="N6" s="39">
        <v>168</v>
      </c>
      <c r="O6">
        <v>84</v>
      </c>
      <c r="P6">
        <v>9.77</v>
      </c>
      <c r="Q6">
        <v>820.68</v>
      </c>
      <c r="R6">
        <v>-652.67999999999995</v>
      </c>
      <c r="U6" s="41" t="s">
        <v>93</v>
      </c>
      <c r="V6" s="43" t="s">
        <v>1</v>
      </c>
      <c r="W6" s="42" t="s">
        <v>1</v>
      </c>
      <c r="X6" s="41" t="s">
        <v>49</v>
      </c>
    </row>
    <row r="7" spans="1:26" x14ac:dyDescent="0.2">
      <c r="C7" s="14" t="str">
        <v>UK</v>
      </c>
      <c r="D7" s="15">
        <f>SUMIFS(data[Amount],data[Geography],C7)</f>
        <v>173530</v>
      </c>
      <c r="E7" s="15">
        <f t="shared" si="0"/>
        <v>173530</v>
      </c>
      <c r="F7" s="16">
        <f>SUMIFS(data[Units],data[Geography],C7)</f>
        <v>5745</v>
      </c>
      <c r="K7" t="s">
        <v>41</v>
      </c>
      <c r="L7" t="s">
        <v>38</v>
      </c>
      <c r="M7" t="s">
        <v>25</v>
      </c>
      <c r="N7" s="39">
        <v>154</v>
      </c>
      <c r="O7">
        <v>21</v>
      </c>
      <c r="P7">
        <v>13.15</v>
      </c>
      <c r="Q7">
        <v>276.15000000000003</v>
      </c>
      <c r="R7">
        <v>-122.15000000000003</v>
      </c>
      <c r="U7" t="str" cm="1">
        <f t="array" ref="U7:U12">_xlfn.UNIQUE(data[Geography])</f>
        <v>Canada</v>
      </c>
      <c r="V7" s="39">
        <f>SUMIFS(data[Amount],data[Geography],U7)</f>
        <v>237944</v>
      </c>
      <c r="W7" s="40">
        <v>237944</v>
      </c>
      <c r="X7">
        <f>SUMIFS(data[Units],data[Geography],U7)</f>
        <v>7302</v>
      </c>
      <c r="Z7" s="40"/>
    </row>
    <row r="8" spans="1:26" x14ac:dyDescent="0.2">
      <c r="C8" s="14" t="str">
        <v>New Zealand</v>
      </c>
      <c r="D8" s="15">
        <f>SUMIFS(data[Amount],data[Geography],C8)</f>
        <v>218813</v>
      </c>
      <c r="E8" s="15">
        <f t="shared" si="0"/>
        <v>218813</v>
      </c>
      <c r="F8" s="16">
        <f>SUMIFS(data[Units],data[Geography],C8)</f>
        <v>7431</v>
      </c>
      <c r="K8" t="s">
        <v>41</v>
      </c>
      <c r="L8" t="s">
        <v>36</v>
      </c>
      <c r="M8" t="s">
        <v>26</v>
      </c>
      <c r="N8" s="39">
        <v>98</v>
      </c>
      <c r="O8">
        <v>204</v>
      </c>
      <c r="P8">
        <v>5.6</v>
      </c>
      <c r="Q8">
        <v>1142.3999999999999</v>
      </c>
      <c r="R8">
        <v>-1044.3999999999999</v>
      </c>
      <c r="U8" t="str">
        <v>Australia</v>
      </c>
      <c r="V8" s="39">
        <f>SUMIFS(data[Amount],data[Geography],U8)</f>
        <v>168679</v>
      </c>
      <c r="W8">
        <v>168679</v>
      </c>
      <c r="X8">
        <f>SUMIFS(data[Units],data[Geography],U8)</f>
        <v>6264</v>
      </c>
      <c r="Z8" s="40"/>
    </row>
    <row r="9" spans="1:26" x14ac:dyDescent="0.2">
      <c r="C9" s="14" t="str">
        <v>India</v>
      </c>
      <c r="D9" s="15">
        <f>SUMIFS(data[Amount],data[Geography],C9)</f>
        <v>252469</v>
      </c>
      <c r="E9" s="15">
        <f t="shared" si="0"/>
        <v>252469</v>
      </c>
      <c r="F9" s="16">
        <f>SUMIFS(data[Units],data[Geography],C9)</f>
        <v>8760</v>
      </c>
      <c r="K9" t="s">
        <v>9</v>
      </c>
      <c r="L9" t="s">
        <v>35</v>
      </c>
      <c r="M9" t="s">
        <v>26</v>
      </c>
      <c r="N9" s="39">
        <v>98</v>
      </c>
      <c r="O9">
        <v>159</v>
      </c>
      <c r="P9">
        <v>5.6</v>
      </c>
      <c r="Q9">
        <v>890.4</v>
      </c>
      <c r="R9">
        <v>-792.4</v>
      </c>
      <c r="U9" t="str">
        <v>UK</v>
      </c>
      <c r="V9" s="39">
        <f>SUMIFS(data[Amount],data[Geography],U9)</f>
        <v>173530</v>
      </c>
      <c r="W9">
        <v>173530</v>
      </c>
      <c r="X9">
        <f>SUMIFS(data[Units],data[Geography],U9)</f>
        <v>5745</v>
      </c>
      <c r="Z9" s="40"/>
    </row>
    <row r="10" spans="1:26" x14ac:dyDescent="0.2">
      <c r="C10" s="14" t="str">
        <v>USA</v>
      </c>
      <c r="D10" s="15">
        <f>SUMIFS(data[Amount],data[Geography],C10)</f>
        <v>189434</v>
      </c>
      <c r="E10" s="15">
        <f t="shared" si="0"/>
        <v>189434</v>
      </c>
      <c r="F10" s="16">
        <f>SUMIFS(data[Units],data[Geography],C10)</f>
        <v>10158</v>
      </c>
      <c r="K10" t="s">
        <v>10</v>
      </c>
      <c r="L10" t="s">
        <v>38</v>
      </c>
      <c r="M10" t="s">
        <v>13</v>
      </c>
      <c r="N10" s="39">
        <v>63</v>
      </c>
      <c r="O10">
        <v>123</v>
      </c>
      <c r="P10">
        <v>9.33</v>
      </c>
      <c r="Q10">
        <v>1147.5899999999999</v>
      </c>
      <c r="R10">
        <v>-1084.5899999999999</v>
      </c>
      <c r="U10" t="str">
        <v>New Zealand</v>
      </c>
      <c r="V10" s="39">
        <f>SUMIFS(data[Amount],data[Geography],U10)</f>
        <v>218813</v>
      </c>
      <c r="W10">
        <v>218813</v>
      </c>
      <c r="X10">
        <f>SUMIFS(data[Units],data[Geography],U10)</f>
        <v>7431</v>
      </c>
      <c r="Z10" s="40"/>
    </row>
    <row r="11" spans="1:26" x14ac:dyDescent="0.2">
      <c r="K11" t="s">
        <v>2</v>
      </c>
      <c r="L11" t="s">
        <v>38</v>
      </c>
      <c r="M11" t="s">
        <v>13</v>
      </c>
      <c r="N11" s="39">
        <v>56</v>
      </c>
      <c r="O11">
        <v>51</v>
      </c>
      <c r="P11">
        <v>9.33</v>
      </c>
      <c r="Q11">
        <v>475.83</v>
      </c>
      <c r="R11">
        <v>-419.83</v>
      </c>
      <c r="U11" t="str">
        <v>India</v>
      </c>
      <c r="V11" s="39">
        <f>SUMIFS(data[Amount],data[Geography],U11)</f>
        <v>252469</v>
      </c>
      <c r="W11">
        <v>252469</v>
      </c>
      <c r="X11">
        <f>SUMIFS(data[Units],data[Geography],U11)</f>
        <v>8760</v>
      </c>
    </row>
    <row r="12" spans="1:26" x14ac:dyDescent="0.2">
      <c r="K12" t="s">
        <v>8</v>
      </c>
      <c r="L12" t="s">
        <v>37</v>
      </c>
      <c r="M12" t="s">
        <v>30</v>
      </c>
      <c r="N12" s="39">
        <v>42</v>
      </c>
      <c r="O12">
        <v>150</v>
      </c>
      <c r="P12">
        <v>14.49</v>
      </c>
      <c r="Q12">
        <v>2173.5</v>
      </c>
      <c r="R12">
        <v>-2131.5</v>
      </c>
      <c r="U12" t="str">
        <v>USA</v>
      </c>
      <c r="V12" s="39">
        <f>SUMIFS(data[Amount],data[Geography],U12)</f>
        <v>189434</v>
      </c>
      <c r="W12">
        <v>189434</v>
      </c>
      <c r="X12">
        <f>SUMIFS(data[Units],data[Geography],U12)</f>
        <v>10158</v>
      </c>
    </row>
    <row r="13" spans="1:26" x14ac:dyDescent="0.2">
      <c r="B13" s="35" t="s">
        <v>0</v>
      </c>
      <c r="C13" s="35" t="s">
        <v>49</v>
      </c>
      <c r="K13" t="s">
        <v>3</v>
      </c>
      <c r="L13" t="s">
        <v>39</v>
      </c>
      <c r="M13" t="s">
        <v>16</v>
      </c>
      <c r="N13" s="39">
        <v>21</v>
      </c>
      <c r="O13">
        <v>168</v>
      </c>
      <c r="P13">
        <v>8.7899999999999991</v>
      </c>
      <c r="Q13">
        <v>1476.7199999999998</v>
      </c>
      <c r="R13">
        <v>-1455.7199999999998</v>
      </c>
    </row>
    <row r="14" spans="1:26" x14ac:dyDescent="0.2">
      <c r="B14" s="37" t="s">
        <v>31</v>
      </c>
      <c r="C14" s="37">
        <v>48</v>
      </c>
      <c r="K14" t="s">
        <v>40</v>
      </c>
      <c r="L14" t="s">
        <v>39</v>
      </c>
      <c r="M14" t="s">
        <v>29</v>
      </c>
      <c r="N14" s="39">
        <v>0</v>
      </c>
      <c r="O14">
        <v>135</v>
      </c>
      <c r="P14">
        <v>7.16</v>
      </c>
      <c r="Q14">
        <v>966.6</v>
      </c>
      <c r="R14">
        <v>-966.6</v>
      </c>
    </row>
    <row r="15" spans="1:26" x14ac:dyDescent="0.2">
      <c r="B15" s="37" t="s">
        <v>22</v>
      </c>
      <c r="C15" s="37">
        <v>84</v>
      </c>
      <c r="K15" t="s">
        <v>2</v>
      </c>
      <c r="L15" t="s">
        <v>36</v>
      </c>
      <c r="M15" t="s">
        <v>16</v>
      </c>
      <c r="N15" s="39">
        <v>11417</v>
      </c>
      <c r="O15">
        <v>21</v>
      </c>
      <c r="P15">
        <v>8.7899999999999991</v>
      </c>
      <c r="Q15">
        <v>184.58999999999997</v>
      </c>
      <c r="R15">
        <v>11232.41</v>
      </c>
    </row>
    <row r="16" spans="1:26" x14ac:dyDescent="0.2">
      <c r="B16" s="37" t="s">
        <v>25</v>
      </c>
      <c r="C16" s="37">
        <v>21</v>
      </c>
      <c r="K16" t="s">
        <v>5</v>
      </c>
      <c r="L16" t="s">
        <v>36</v>
      </c>
      <c r="M16" t="s">
        <v>16</v>
      </c>
      <c r="N16" s="39">
        <v>16184</v>
      </c>
      <c r="O16">
        <v>39</v>
      </c>
      <c r="P16">
        <v>8.7899999999999991</v>
      </c>
      <c r="Q16">
        <v>342.80999999999995</v>
      </c>
      <c r="R16">
        <v>15841.19</v>
      </c>
    </row>
    <row r="17" spans="2:18" x14ac:dyDescent="0.2">
      <c r="B17" s="37" t="s">
        <v>26</v>
      </c>
      <c r="C17" s="37">
        <v>204</v>
      </c>
      <c r="K17" t="s">
        <v>5</v>
      </c>
      <c r="L17" t="s">
        <v>34</v>
      </c>
      <c r="M17" t="s">
        <v>20</v>
      </c>
      <c r="N17" s="39">
        <v>15610</v>
      </c>
      <c r="O17">
        <v>339</v>
      </c>
      <c r="P17">
        <v>10.62</v>
      </c>
      <c r="Q17">
        <v>3600.18</v>
      </c>
      <c r="R17">
        <v>12009.82</v>
      </c>
    </row>
    <row r="18" spans="2:18" x14ac:dyDescent="0.2">
      <c r="B18" s="37" t="s">
        <v>13</v>
      </c>
      <c r="C18" s="37">
        <v>159</v>
      </c>
      <c r="K18" t="s">
        <v>9</v>
      </c>
      <c r="L18" t="s">
        <v>34</v>
      </c>
      <c r="M18" t="s">
        <v>28</v>
      </c>
      <c r="N18" s="39">
        <v>14329</v>
      </c>
      <c r="O18">
        <v>150</v>
      </c>
      <c r="P18">
        <v>10.38</v>
      </c>
      <c r="Q18">
        <v>1557.0000000000002</v>
      </c>
      <c r="R18">
        <v>12772</v>
      </c>
    </row>
    <row r="19" spans="2:18" x14ac:dyDescent="0.2">
      <c r="B19" s="37" t="s">
        <v>30</v>
      </c>
      <c r="C19" s="37">
        <v>123</v>
      </c>
      <c r="K19" t="s">
        <v>5</v>
      </c>
      <c r="L19" t="s">
        <v>35</v>
      </c>
      <c r="M19" t="s">
        <v>15</v>
      </c>
      <c r="N19" s="39">
        <v>13391</v>
      </c>
      <c r="O19">
        <v>201</v>
      </c>
      <c r="P19">
        <v>11.73</v>
      </c>
      <c r="Q19">
        <v>2357.73</v>
      </c>
      <c r="R19">
        <v>11033.27</v>
      </c>
    </row>
    <row r="20" spans="2:18" x14ac:dyDescent="0.2">
      <c r="B20" s="37" t="s">
        <v>16</v>
      </c>
      <c r="C20" s="37">
        <v>51</v>
      </c>
      <c r="K20" t="s">
        <v>10</v>
      </c>
      <c r="L20" t="s">
        <v>39</v>
      </c>
      <c r="M20" t="s">
        <v>33</v>
      </c>
      <c r="N20" s="39">
        <v>12950</v>
      </c>
      <c r="O20">
        <v>30</v>
      </c>
      <c r="P20">
        <v>12.37</v>
      </c>
      <c r="Q20">
        <v>371.09999999999997</v>
      </c>
      <c r="R20">
        <v>12578.9</v>
      </c>
    </row>
    <row r="21" spans="2:18" x14ac:dyDescent="0.2">
      <c r="B21" s="37" t="s">
        <v>29</v>
      </c>
      <c r="C21" s="37">
        <v>150</v>
      </c>
      <c r="K21" t="s">
        <v>40</v>
      </c>
      <c r="L21" t="s">
        <v>35</v>
      </c>
      <c r="M21" t="s">
        <v>32</v>
      </c>
      <c r="N21" s="39">
        <v>12348</v>
      </c>
      <c r="O21">
        <v>234</v>
      </c>
      <c r="P21">
        <v>8.65</v>
      </c>
      <c r="Q21">
        <v>2024.1000000000001</v>
      </c>
      <c r="R21">
        <v>10323.9</v>
      </c>
    </row>
    <row r="22" spans="2:18" x14ac:dyDescent="0.2">
      <c r="B22" s="37" t="s">
        <v>20</v>
      </c>
      <c r="C22" s="37">
        <v>168</v>
      </c>
      <c r="K22" t="s">
        <v>2</v>
      </c>
      <c r="L22" t="s">
        <v>37</v>
      </c>
      <c r="M22" t="s">
        <v>18</v>
      </c>
      <c r="N22" s="39">
        <v>11571</v>
      </c>
      <c r="O22">
        <v>138</v>
      </c>
      <c r="P22">
        <v>6.47</v>
      </c>
      <c r="Q22">
        <v>892.86</v>
      </c>
      <c r="R22">
        <v>10678.14</v>
      </c>
    </row>
    <row r="23" spans="2:18" x14ac:dyDescent="0.2">
      <c r="B23" s="37" t="s">
        <v>28</v>
      </c>
      <c r="C23" s="37">
        <v>135</v>
      </c>
      <c r="K23" t="s">
        <v>9</v>
      </c>
      <c r="L23" t="s">
        <v>36</v>
      </c>
      <c r="M23" t="s">
        <v>27</v>
      </c>
      <c r="N23" s="39">
        <v>11522</v>
      </c>
      <c r="O23">
        <v>204</v>
      </c>
      <c r="P23">
        <v>16.73</v>
      </c>
      <c r="Q23">
        <v>3412.92</v>
      </c>
      <c r="R23">
        <v>8109.08</v>
      </c>
    </row>
    <row r="24" spans="2:18" x14ac:dyDescent="0.2">
      <c r="B24" s="37" t="s">
        <v>15</v>
      </c>
      <c r="C24" s="37">
        <v>39</v>
      </c>
      <c r="K24" t="s">
        <v>41</v>
      </c>
      <c r="L24" t="s">
        <v>36</v>
      </c>
      <c r="M24" t="s">
        <v>13</v>
      </c>
      <c r="N24" s="39">
        <v>10311</v>
      </c>
      <c r="O24">
        <v>231</v>
      </c>
      <c r="P24">
        <v>9.33</v>
      </c>
      <c r="Q24">
        <v>2155.23</v>
      </c>
      <c r="R24">
        <v>8155.77</v>
      </c>
    </row>
    <row r="25" spans="2:18" x14ac:dyDescent="0.2">
      <c r="B25" s="37" t="s">
        <v>33</v>
      </c>
      <c r="C25" s="37">
        <v>339</v>
      </c>
      <c r="K25" t="s">
        <v>41</v>
      </c>
      <c r="L25" t="s">
        <v>36</v>
      </c>
      <c r="M25" t="s">
        <v>32</v>
      </c>
      <c r="N25" s="39">
        <v>10304</v>
      </c>
      <c r="O25">
        <v>84</v>
      </c>
      <c r="P25">
        <v>8.65</v>
      </c>
      <c r="Q25">
        <v>726.6</v>
      </c>
      <c r="R25">
        <v>9577.4</v>
      </c>
    </row>
    <row r="26" spans="2:18" x14ac:dyDescent="0.2">
      <c r="B26" s="37" t="s">
        <v>32</v>
      </c>
      <c r="C26" s="37">
        <v>201</v>
      </c>
      <c r="K26" t="s">
        <v>7</v>
      </c>
      <c r="L26" t="s">
        <v>38</v>
      </c>
      <c r="M26" t="s">
        <v>30</v>
      </c>
      <c r="N26" s="39">
        <v>10129</v>
      </c>
      <c r="O26">
        <v>312</v>
      </c>
      <c r="P26">
        <v>14.49</v>
      </c>
      <c r="Q26">
        <v>4520.88</v>
      </c>
      <c r="R26">
        <v>5608.12</v>
      </c>
    </row>
    <row r="27" spans="2:18" x14ac:dyDescent="0.2">
      <c r="B27" s="37" t="s">
        <v>18</v>
      </c>
      <c r="C27" s="37">
        <v>30</v>
      </c>
      <c r="K27" t="s">
        <v>6</v>
      </c>
      <c r="L27" t="s">
        <v>36</v>
      </c>
      <c r="M27" t="s">
        <v>4</v>
      </c>
      <c r="N27" s="39">
        <v>10073</v>
      </c>
      <c r="O27">
        <v>120</v>
      </c>
      <c r="P27">
        <v>11.88</v>
      </c>
      <c r="Q27">
        <v>1425.6000000000001</v>
      </c>
      <c r="R27">
        <v>8647.4</v>
      </c>
    </row>
    <row r="28" spans="2:18" x14ac:dyDescent="0.2">
      <c r="B28" s="37" t="s">
        <v>27</v>
      </c>
      <c r="C28" s="37">
        <v>234</v>
      </c>
      <c r="K28" t="s">
        <v>2</v>
      </c>
      <c r="L28" t="s">
        <v>37</v>
      </c>
      <c r="M28" t="s">
        <v>17</v>
      </c>
      <c r="N28" s="39">
        <v>9926</v>
      </c>
      <c r="O28">
        <v>201</v>
      </c>
      <c r="P28">
        <v>3.11</v>
      </c>
      <c r="Q28">
        <v>625.11</v>
      </c>
      <c r="R28">
        <v>9300.89</v>
      </c>
    </row>
    <row r="29" spans="2:18" x14ac:dyDescent="0.2">
      <c r="B29" s="37" t="s">
        <v>4</v>
      </c>
      <c r="C29" s="37">
        <v>138</v>
      </c>
      <c r="K29" t="s">
        <v>7</v>
      </c>
      <c r="L29" t="s">
        <v>37</v>
      </c>
      <c r="M29" t="s">
        <v>22</v>
      </c>
      <c r="N29" s="39">
        <v>9835</v>
      </c>
      <c r="O29">
        <v>207</v>
      </c>
      <c r="P29">
        <v>9.77</v>
      </c>
      <c r="Q29">
        <v>2022.3899999999999</v>
      </c>
      <c r="R29">
        <v>7812.6100000000006</v>
      </c>
    </row>
    <row r="30" spans="2:18" x14ac:dyDescent="0.2">
      <c r="B30" s="37" t="s">
        <v>17</v>
      </c>
      <c r="C30" s="37">
        <v>231</v>
      </c>
      <c r="K30" t="s">
        <v>40</v>
      </c>
      <c r="L30" t="s">
        <v>36</v>
      </c>
      <c r="M30" t="s">
        <v>33</v>
      </c>
      <c r="N30" s="39">
        <v>9772</v>
      </c>
      <c r="O30">
        <v>90</v>
      </c>
      <c r="P30">
        <v>12.37</v>
      </c>
      <c r="Q30">
        <v>1113.3</v>
      </c>
      <c r="R30">
        <v>8658.7000000000007</v>
      </c>
    </row>
    <row r="31" spans="2:18" x14ac:dyDescent="0.2">
      <c r="B31" s="37" t="s">
        <v>24</v>
      </c>
      <c r="C31" s="37">
        <v>312</v>
      </c>
      <c r="K31" t="s">
        <v>8</v>
      </c>
      <c r="L31" t="s">
        <v>37</v>
      </c>
      <c r="M31" t="s">
        <v>15</v>
      </c>
      <c r="N31" s="39">
        <v>9709</v>
      </c>
      <c r="O31">
        <v>30</v>
      </c>
      <c r="P31">
        <v>11.73</v>
      </c>
      <c r="Q31">
        <v>351.90000000000003</v>
      </c>
      <c r="R31">
        <v>9357.1</v>
      </c>
    </row>
    <row r="32" spans="2:18" x14ac:dyDescent="0.2">
      <c r="B32" s="37" t="s">
        <v>23</v>
      </c>
      <c r="C32" s="37">
        <v>120</v>
      </c>
      <c r="K32" t="s">
        <v>8</v>
      </c>
      <c r="L32" t="s">
        <v>39</v>
      </c>
      <c r="M32" t="s">
        <v>18</v>
      </c>
      <c r="N32" s="39">
        <v>9660</v>
      </c>
      <c r="O32">
        <v>27</v>
      </c>
      <c r="P32">
        <v>6.47</v>
      </c>
      <c r="Q32">
        <v>174.69</v>
      </c>
      <c r="R32">
        <v>9485.31</v>
      </c>
    </row>
    <row r="33" spans="2:18" x14ac:dyDescent="0.2">
      <c r="B33" s="37" t="s">
        <v>19</v>
      </c>
      <c r="C33" s="37">
        <v>207</v>
      </c>
      <c r="K33" t="s">
        <v>41</v>
      </c>
      <c r="L33" t="s">
        <v>36</v>
      </c>
      <c r="M33" t="s">
        <v>18</v>
      </c>
      <c r="N33" s="39">
        <v>9632</v>
      </c>
      <c r="O33">
        <v>288</v>
      </c>
      <c r="P33">
        <v>6.47</v>
      </c>
      <c r="Q33">
        <v>1863.36</v>
      </c>
      <c r="R33">
        <v>7768.64</v>
      </c>
    </row>
    <row r="34" spans="2:18" x14ac:dyDescent="0.2">
      <c r="B34" s="37" t="s">
        <v>21</v>
      </c>
      <c r="C34" s="37">
        <v>90</v>
      </c>
      <c r="K34" t="s">
        <v>9</v>
      </c>
      <c r="L34" t="s">
        <v>38</v>
      </c>
      <c r="M34" t="s">
        <v>33</v>
      </c>
      <c r="N34" s="39">
        <v>9506</v>
      </c>
      <c r="O34">
        <v>87</v>
      </c>
      <c r="P34">
        <v>12.37</v>
      </c>
      <c r="Q34">
        <v>1076.1899999999998</v>
      </c>
      <c r="R34">
        <v>8429.81</v>
      </c>
    </row>
    <row r="35" spans="2:18" x14ac:dyDescent="0.2">
      <c r="B35" s="37" t="s">
        <v>14</v>
      </c>
      <c r="C35" s="37">
        <v>27</v>
      </c>
      <c r="K35" t="s">
        <v>2</v>
      </c>
      <c r="L35" t="s">
        <v>39</v>
      </c>
      <c r="M35" t="s">
        <v>20</v>
      </c>
      <c r="N35" s="39">
        <v>9443</v>
      </c>
      <c r="O35">
        <v>162</v>
      </c>
      <c r="P35">
        <v>10.62</v>
      </c>
      <c r="Q35">
        <v>1720.4399999999998</v>
      </c>
      <c r="R35">
        <v>7722.56</v>
      </c>
    </row>
    <row r="36" spans="2:18" x14ac:dyDescent="0.2">
      <c r="C36" s="37">
        <v>288</v>
      </c>
      <c r="K36" t="s">
        <v>3</v>
      </c>
      <c r="L36" t="s">
        <v>36</v>
      </c>
      <c r="M36" t="s">
        <v>16</v>
      </c>
      <c r="N36" s="39">
        <v>9198</v>
      </c>
      <c r="O36">
        <v>36</v>
      </c>
      <c r="P36">
        <v>8.7899999999999991</v>
      </c>
      <c r="Q36">
        <v>316.43999999999994</v>
      </c>
      <c r="R36">
        <v>8881.56</v>
      </c>
    </row>
    <row r="37" spans="2:18" x14ac:dyDescent="0.2">
      <c r="C37" s="37">
        <v>87</v>
      </c>
      <c r="K37" t="s">
        <v>9</v>
      </c>
      <c r="L37" t="s">
        <v>36</v>
      </c>
      <c r="M37" t="s">
        <v>30</v>
      </c>
      <c r="N37" s="39">
        <v>9051</v>
      </c>
      <c r="O37">
        <v>57</v>
      </c>
      <c r="P37">
        <v>14.49</v>
      </c>
      <c r="Q37">
        <v>825.93000000000006</v>
      </c>
      <c r="R37">
        <v>8225.07</v>
      </c>
    </row>
    <row r="38" spans="2:18" x14ac:dyDescent="0.2">
      <c r="C38" s="37">
        <v>162</v>
      </c>
      <c r="K38" t="s">
        <v>40</v>
      </c>
      <c r="L38" t="s">
        <v>37</v>
      </c>
      <c r="M38" t="s">
        <v>29</v>
      </c>
      <c r="N38" s="39">
        <v>9002</v>
      </c>
      <c r="O38">
        <v>72</v>
      </c>
      <c r="P38">
        <v>7.16</v>
      </c>
      <c r="Q38">
        <v>515.52</v>
      </c>
      <c r="R38">
        <v>8486.48</v>
      </c>
    </row>
    <row r="39" spans="2:18" x14ac:dyDescent="0.2">
      <c r="C39" s="37">
        <v>36</v>
      </c>
      <c r="K39" t="s">
        <v>8</v>
      </c>
      <c r="L39" t="s">
        <v>39</v>
      </c>
      <c r="M39" t="s">
        <v>31</v>
      </c>
      <c r="N39" s="39">
        <v>8890</v>
      </c>
      <c r="O39">
        <v>210</v>
      </c>
      <c r="P39">
        <v>5.79</v>
      </c>
      <c r="Q39">
        <v>1215.9000000000001</v>
      </c>
      <c r="R39">
        <v>7674.1</v>
      </c>
    </row>
    <row r="40" spans="2:18" x14ac:dyDescent="0.2">
      <c r="C40" s="37">
        <v>57</v>
      </c>
      <c r="K40" t="s">
        <v>40</v>
      </c>
      <c r="L40" t="s">
        <v>35</v>
      </c>
      <c r="M40" t="s">
        <v>33</v>
      </c>
      <c r="N40" s="39">
        <v>8869</v>
      </c>
      <c r="O40">
        <v>432</v>
      </c>
      <c r="P40">
        <v>12.37</v>
      </c>
      <c r="Q40">
        <v>5343.8399999999992</v>
      </c>
      <c r="R40">
        <v>3525.1600000000008</v>
      </c>
    </row>
    <row r="41" spans="2:18" x14ac:dyDescent="0.2">
      <c r="C41" s="37">
        <v>72</v>
      </c>
      <c r="K41" t="s">
        <v>7</v>
      </c>
      <c r="L41" t="s">
        <v>34</v>
      </c>
      <c r="M41" t="s">
        <v>24</v>
      </c>
      <c r="N41" s="39">
        <v>8862</v>
      </c>
      <c r="O41">
        <v>189</v>
      </c>
      <c r="P41">
        <v>4.97</v>
      </c>
      <c r="Q41">
        <v>939.32999999999993</v>
      </c>
      <c r="R41">
        <v>7922.67</v>
      </c>
    </row>
    <row r="42" spans="2:18" x14ac:dyDescent="0.2">
      <c r="C42" s="37">
        <v>210</v>
      </c>
      <c r="K42" t="s">
        <v>3</v>
      </c>
      <c r="L42" t="s">
        <v>38</v>
      </c>
      <c r="M42" t="s">
        <v>26</v>
      </c>
      <c r="N42" s="39">
        <v>8841</v>
      </c>
      <c r="O42">
        <v>303</v>
      </c>
      <c r="P42">
        <v>5.6</v>
      </c>
      <c r="Q42">
        <v>1696.8</v>
      </c>
      <c r="R42">
        <v>7144.2</v>
      </c>
    </row>
    <row r="43" spans="2:18" x14ac:dyDescent="0.2">
      <c r="C43" s="37">
        <v>432</v>
      </c>
      <c r="K43" t="s">
        <v>5</v>
      </c>
      <c r="L43" t="s">
        <v>37</v>
      </c>
      <c r="M43" t="s">
        <v>25</v>
      </c>
      <c r="N43" s="39">
        <v>8813</v>
      </c>
      <c r="O43">
        <v>21</v>
      </c>
      <c r="P43">
        <v>13.15</v>
      </c>
      <c r="Q43">
        <v>276.15000000000003</v>
      </c>
      <c r="R43">
        <v>8536.85</v>
      </c>
    </row>
    <row r="44" spans="2:18" x14ac:dyDescent="0.2">
      <c r="C44" s="37">
        <v>189</v>
      </c>
      <c r="K44" t="s">
        <v>9</v>
      </c>
      <c r="L44" t="s">
        <v>34</v>
      </c>
      <c r="M44" t="s">
        <v>20</v>
      </c>
      <c r="N44" s="39">
        <v>8463</v>
      </c>
      <c r="O44">
        <v>492</v>
      </c>
      <c r="P44">
        <v>10.62</v>
      </c>
      <c r="Q44">
        <v>5225.04</v>
      </c>
      <c r="R44">
        <v>3237.96</v>
      </c>
    </row>
    <row r="45" spans="2:18" x14ac:dyDescent="0.2">
      <c r="C45" s="37">
        <v>303</v>
      </c>
      <c r="K45" t="s">
        <v>7</v>
      </c>
      <c r="L45" t="s">
        <v>36</v>
      </c>
      <c r="M45" t="s">
        <v>22</v>
      </c>
      <c r="N45" s="39">
        <v>8435</v>
      </c>
      <c r="O45">
        <v>42</v>
      </c>
      <c r="P45">
        <v>9.77</v>
      </c>
      <c r="Q45">
        <v>410.34</v>
      </c>
      <c r="R45">
        <v>8024.66</v>
      </c>
    </row>
    <row r="46" spans="2:18" x14ac:dyDescent="0.2">
      <c r="C46" s="37">
        <v>492</v>
      </c>
      <c r="K46" t="s">
        <v>2</v>
      </c>
      <c r="L46" t="s">
        <v>36</v>
      </c>
      <c r="M46" t="s">
        <v>29</v>
      </c>
      <c r="N46" s="39">
        <v>8211</v>
      </c>
      <c r="O46">
        <v>75</v>
      </c>
      <c r="P46">
        <v>7.16</v>
      </c>
      <c r="Q46">
        <v>537</v>
      </c>
      <c r="R46">
        <v>7674</v>
      </c>
    </row>
    <row r="47" spans="2:18" x14ac:dyDescent="0.2">
      <c r="C47" s="37">
        <v>42</v>
      </c>
      <c r="K47" t="s">
        <v>9</v>
      </c>
      <c r="L47" t="s">
        <v>34</v>
      </c>
      <c r="M47" t="s">
        <v>23</v>
      </c>
      <c r="N47" s="39">
        <v>8155</v>
      </c>
      <c r="O47">
        <v>90</v>
      </c>
      <c r="P47">
        <v>6.49</v>
      </c>
      <c r="Q47">
        <v>584.1</v>
      </c>
      <c r="R47">
        <v>7570.9</v>
      </c>
    </row>
    <row r="48" spans="2:18" x14ac:dyDescent="0.2">
      <c r="C48" s="37">
        <v>75</v>
      </c>
      <c r="K48" t="s">
        <v>6</v>
      </c>
      <c r="L48" t="s">
        <v>34</v>
      </c>
      <c r="M48" t="s">
        <v>26</v>
      </c>
      <c r="N48" s="39">
        <v>8008</v>
      </c>
      <c r="O48">
        <v>456</v>
      </c>
      <c r="P48">
        <v>5.6</v>
      </c>
      <c r="Q48">
        <v>2553.6</v>
      </c>
      <c r="R48">
        <v>5454.4</v>
      </c>
    </row>
    <row r="49" spans="3:18" x14ac:dyDescent="0.2">
      <c r="C49" s="37">
        <v>456</v>
      </c>
      <c r="K49" t="s">
        <v>41</v>
      </c>
      <c r="L49" t="s">
        <v>34</v>
      </c>
      <c r="M49" t="s">
        <v>33</v>
      </c>
      <c r="N49" s="39">
        <v>7847</v>
      </c>
      <c r="O49">
        <v>174</v>
      </c>
      <c r="P49">
        <v>12.37</v>
      </c>
      <c r="Q49">
        <v>2152.3799999999997</v>
      </c>
      <c r="R49">
        <v>5694.6200000000008</v>
      </c>
    </row>
    <row r="50" spans="3:18" x14ac:dyDescent="0.2">
      <c r="C50" s="37">
        <v>174</v>
      </c>
      <c r="K50" t="s">
        <v>9</v>
      </c>
      <c r="L50" t="s">
        <v>35</v>
      </c>
      <c r="M50" t="s">
        <v>15</v>
      </c>
      <c r="N50" s="39">
        <v>7833</v>
      </c>
      <c r="O50">
        <v>243</v>
      </c>
      <c r="P50">
        <v>11.73</v>
      </c>
      <c r="Q50">
        <v>2850.3900000000003</v>
      </c>
      <c r="R50">
        <v>4982.6099999999997</v>
      </c>
    </row>
    <row r="51" spans="3:18" x14ac:dyDescent="0.2">
      <c r="C51" s="37">
        <v>243</v>
      </c>
      <c r="K51" t="s">
        <v>2</v>
      </c>
      <c r="L51" t="s">
        <v>39</v>
      </c>
      <c r="M51" t="s">
        <v>27</v>
      </c>
      <c r="N51" s="39">
        <v>7812</v>
      </c>
      <c r="O51">
        <v>81</v>
      </c>
      <c r="P51">
        <v>16.73</v>
      </c>
      <c r="Q51">
        <v>1355.13</v>
      </c>
      <c r="R51">
        <v>6456.87</v>
      </c>
    </row>
    <row r="52" spans="3:18" x14ac:dyDescent="0.2">
      <c r="C52" s="37">
        <v>81</v>
      </c>
      <c r="K52" t="s">
        <v>3</v>
      </c>
      <c r="L52" t="s">
        <v>34</v>
      </c>
      <c r="M52" t="s">
        <v>32</v>
      </c>
      <c r="N52" s="39">
        <v>7777</v>
      </c>
      <c r="O52">
        <v>504</v>
      </c>
      <c r="P52">
        <v>8.65</v>
      </c>
      <c r="Q52">
        <v>4359.6000000000004</v>
      </c>
      <c r="R52">
        <v>3417.3999999999996</v>
      </c>
    </row>
    <row r="53" spans="3:18" x14ac:dyDescent="0.2">
      <c r="C53" s="37">
        <v>504</v>
      </c>
      <c r="K53" t="s">
        <v>7</v>
      </c>
      <c r="L53" t="s">
        <v>34</v>
      </c>
      <c r="M53" t="s">
        <v>17</v>
      </c>
      <c r="N53" s="39">
        <v>7777</v>
      </c>
      <c r="O53">
        <v>39</v>
      </c>
      <c r="P53">
        <v>3.11</v>
      </c>
      <c r="Q53">
        <v>121.28999999999999</v>
      </c>
      <c r="R53">
        <v>7655.71</v>
      </c>
    </row>
    <row r="54" spans="3:18" x14ac:dyDescent="0.2">
      <c r="C54" s="37">
        <v>213</v>
      </c>
      <c r="K54" t="s">
        <v>6</v>
      </c>
      <c r="L54" t="s">
        <v>37</v>
      </c>
      <c r="M54" t="s">
        <v>31</v>
      </c>
      <c r="N54" s="39">
        <v>7693</v>
      </c>
      <c r="O54">
        <v>87</v>
      </c>
      <c r="P54">
        <v>5.79</v>
      </c>
      <c r="Q54">
        <v>503.73</v>
      </c>
      <c r="R54">
        <v>7189.27</v>
      </c>
    </row>
    <row r="55" spans="3:18" x14ac:dyDescent="0.2">
      <c r="C55" s="37">
        <v>45</v>
      </c>
      <c r="K55" t="s">
        <v>40</v>
      </c>
      <c r="L55" t="s">
        <v>37</v>
      </c>
      <c r="M55" t="s">
        <v>19</v>
      </c>
      <c r="N55" s="39">
        <v>7693</v>
      </c>
      <c r="O55">
        <v>21</v>
      </c>
      <c r="P55">
        <v>7.64</v>
      </c>
      <c r="Q55">
        <v>160.44</v>
      </c>
      <c r="R55">
        <v>7532.56</v>
      </c>
    </row>
    <row r="56" spans="3:18" x14ac:dyDescent="0.2">
      <c r="C56" s="37">
        <v>216</v>
      </c>
      <c r="K56" t="s">
        <v>2</v>
      </c>
      <c r="L56" t="s">
        <v>39</v>
      </c>
      <c r="M56" t="s">
        <v>21</v>
      </c>
      <c r="N56" s="39">
        <v>7651</v>
      </c>
      <c r="O56">
        <v>213</v>
      </c>
      <c r="P56">
        <v>9</v>
      </c>
      <c r="Q56">
        <v>1917</v>
      </c>
      <c r="R56">
        <v>5734</v>
      </c>
    </row>
    <row r="57" spans="3:18" x14ac:dyDescent="0.2">
      <c r="C57" s="37">
        <v>327</v>
      </c>
      <c r="K57" t="s">
        <v>2</v>
      </c>
      <c r="L57" t="s">
        <v>34</v>
      </c>
      <c r="M57" t="s">
        <v>19</v>
      </c>
      <c r="N57" s="39">
        <v>7511</v>
      </c>
      <c r="O57">
        <v>120</v>
      </c>
      <c r="P57">
        <v>7.64</v>
      </c>
      <c r="Q57">
        <v>916.8</v>
      </c>
      <c r="R57">
        <v>6594.2</v>
      </c>
    </row>
    <row r="58" spans="3:18" x14ac:dyDescent="0.2">
      <c r="C58" s="37">
        <v>96</v>
      </c>
      <c r="K58" t="s">
        <v>5</v>
      </c>
      <c r="L58" t="s">
        <v>38</v>
      </c>
      <c r="M58" t="s">
        <v>25</v>
      </c>
      <c r="N58" s="39">
        <v>7483</v>
      </c>
      <c r="O58">
        <v>45</v>
      </c>
      <c r="P58">
        <v>13.15</v>
      </c>
      <c r="Q58">
        <v>591.75</v>
      </c>
      <c r="R58">
        <v>6891.25</v>
      </c>
    </row>
    <row r="59" spans="3:18" x14ac:dyDescent="0.2">
      <c r="C59" s="37">
        <v>276</v>
      </c>
      <c r="K59" t="s">
        <v>41</v>
      </c>
      <c r="L59" t="s">
        <v>35</v>
      </c>
      <c r="M59" t="s">
        <v>28</v>
      </c>
      <c r="N59" s="39">
        <v>7455</v>
      </c>
      <c r="O59">
        <v>216</v>
      </c>
      <c r="P59">
        <v>10.38</v>
      </c>
      <c r="Q59">
        <v>2242.0800000000004</v>
      </c>
      <c r="R59">
        <v>5212.92</v>
      </c>
    </row>
    <row r="60" spans="3:18" x14ac:dyDescent="0.2">
      <c r="C60" s="37">
        <v>54</v>
      </c>
      <c r="K60" t="s">
        <v>6</v>
      </c>
      <c r="L60" t="s">
        <v>38</v>
      </c>
      <c r="M60" t="s">
        <v>21</v>
      </c>
      <c r="N60" s="39">
        <v>7322</v>
      </c>
      <c r="O60">
        <v>36</v>
      </c>
      <c r="P60">
        <v>9</v>
      </c>
      <c r="Q60">
        <v>324</v>
      </c>
      <c r="R60">
        <v>6998</v>
      </c>
    </row>
    <row r="61" spans="3:18" x14ac:dyDescent="0.2">
      <c r="C61" s="37">
        <v>183</v>
      </c>
      <c r="K61" t="s">
        <v>3</v>
      </c>
      <c r="L61" t="s">
        <v>37</v>
      </c>
      <c r="M61" t="s">
        <v>28</v>
      </c>
      <c r="N61" s="39">
        <v>7308</v>
      </c>
      <c r="O61">
        <v>327</v>
      </c>
      <c r="P61">
        <v>10.38</v>
      </c>
      <c r="Q61">
        <v>3394.26</v>
      </c>
      <c r="R61">
        <v>3913.74</v>
      </c>
    </row>
    <row r="62" spans="3:18" x14ac:dyDescent="0.2">
      <c r="C62" s="37">
        <v>126</v>
      </c>
      <c r="K62" t="s">
        <v>5</v>
      </c>
      <c r="L62" t="s">
        <v>34</v>
      </c>
      <c r="M62" t="s">
        <v>15</v>
      </c>
      <c r="N62" s="39">
        <v>7280</v>
      </c>
      <c r="O62">
        <v>201</v>
      </c>
      <c r="P62">
        <v>11.73</v>
      </c>
      <c r="Q62">
        <v>2357.73</v>
      </c>
      <c r="R62">
        <v>4922.2700000000004</v>
      </c>
    </row>
    <row r="63" spans="3:18" x14ac:dyDescent="0.2">
      <c r="C63" s="37">
        <v>372</v>
      </c>
      <c r="K63" t="s">
        <v>9</v>
      </c>
      <c r="L63" t="s">
        <v>37</v>
      </c>
      <c r="M63" t="s">
        <v>20</v>
      </c>
      <c r="N63" s="39">
        <v>7273</v>
      </c>
      <c r="O63">
        <v>96</v>
      </c>
      <c r="P63">
        <v>10.62</v>
      </c>
      <c r="Q63">
        <v>1019.52</v>
      </c>
      <c r="R63">
        <v>6253.48</v>
      </c>
    </row>
    <row r="64" spans="3:18" x14ac:dyDescent="0.2">
      <c r="C64" s="37">
        <v>6</v>
      </c>
      <c r="K64" t="s">
        <v>3</v>
      </c>
      <c r="L64" t="s">
        <v>34</v>
      </c>
      <c r="M64" t="s">
        <v>14</v>
      </c>
      <c r="N64" s="39">
        <v>7259</v>
      </c>
      <c r="O64">
        <v>276</v>
      </c>
      <c r="P64">
        <v>11.7</v>
      </c>
      <c r="Q64">
        <v>3229.2</v>
      </c>
      <c r="R64">
        <v>4029.8</v>
      </c>
    </row>
    <row r="65" spans="3:18" x14ac:dyDescent="0.2">
      <c r="C65" s="37">
        <v>252</v>
      </c>
      <c r="K65" t="s">
        <v>5</v>
      </c>
      <c r="L65" t="s">
        <v>38</v>
      </c>
      <c r="M65" t="s">
        <v>13</v>
      </c>
      <c r="N65" s="39">
        <v>7189</v>
      </c>
      <c r="O65">
        <v>54</v>
      </c>
      <c r="P65">
        <v>9.33</v>
      </c>
      <c r="Q65">
        <v>503.82</v>
      </c>
      <c r="R65">
        <v>6685.18</v>
      </c>
    </row>
    <row r="66" spans="3:18" x14ac:dyDescent="0.2">
      <c r="C66" s="37">
        <v>459</v>
      </c>
      <c r="K66" t="s">
        <v>8</v>
      </c>
      <c r="L66" t="s">
        <v>39</v>
      </c>
      <c r="M66" t="s">
        <v>30</v>
      </c>
      <c r="N66" s="39">
        <v>7021</v>
      </c>
      <c r="O66">
        <v>183</v>
      </c>
      <c r="P66">
        <v>14.49</v>
      </c>
      <c r="Q66">
        <v>2651.67</v>
      </c>
      <c r="R66">
        <v>4369.33</v>
      </c>
    </row>
    <row r="67" spans="3:18" x14ac:dyDescent="0.2">
      <c r="C67" s="37">
        <v>225</v>
      </c>
      <c r="K67" t="s">
        <v>5</v>
      </c>
      <c r="L67" t="s">
        <v>34</v>
      </c>
      <c r="M67" t="s">
        <v>27</v>
      </c>
      <c r="N67" s="39">
        <v>6986</v>
      </c>
      <c r="O67">
        <v>21</v>
      </c>
      <c r="P67">
        <v>16.73</v>
      </c>
      <c r="Q67">
        <v>351.33</v>
      </c>
      <c r="R67">
        <v>6634.67</v>
      </c>
    </row>
    <row r="68" spans="3:18" x14ac:dyDescent="0.2">
      <c r="C68" s="37">
        <v>78</v>
      </c>
      <c r="K68" t="s">
        <v>5</v>
      </c>
      <c r="L68" t="s">
        <v>39</v>
      </c>
      <c r="M68" t="s">
        <v>22</v>
      </c>
      <c r="N68" s="39">
        <v>6909</v>
      </c>
      <c r="O68">
        <v>81</v>
      </c>
      <c r="P68">
        <v>9.77</v>
      </c>
      <c r="Q68">
        <v>791.37</v>
      </c>
      <c r="R68">
        <v>6117.63</v>
      </c>
    </row>
    <row r="69" spans="3:18" x14ac:dyDescent="0.2">
      <c r="C69" s="37">
        <v>102</v>
      </c>
      <c r="K69" t="s">
        <v>10</v>
      </c>
      <c r="L69" t="s">
        <v>38</v>
      </c>
      <c r="M69" t="s">
        <v>4</v>
      </c>
      <c r="N69" s="39">
        <v>6860</v>
      </c>
      <c r="O69">
        <v>126</v>
      </c>
      <c r="P69">
        <v>11.88</v>
      </c>
      <c r="Q69">
        <v>1496.88</v>
      </c>
      <c r="R69">
        <v>5363.12</v>
      </c>
    </row>
    <row r="70" spans="3:18" x14ac:dyDescent="0.2">
      <c r="C70" s="37">
        <v>15</v>
      </c>
      <c r="K70" t="s">
        <v>40</v>
      </c>
      <c r="L70" t="s">
        <v>35</v>
      </c>
      <c r="M70" t="s">
        <v>22</v>
      </c>
      <c r="N70" s="39">
        <v>6853</v>
      </c>
      <c r="O70">
        <v>372</v>
      </c>
      <c r="P70">
        <v>9.77</v>
      </c>
      <c r="Q70">
        <v>3634.44</v>
      </c>
      <c r="R70">
        <v>3218.56</v>
      </c>
    </row>
    <row r="71" spans="3:18" x14ac:dyDescent="0.2">
      <c r="C71" s="37">
        <v>237</v>
      </c>
      <c r="K71" t="s">
        <v>9</v>
      </c>
      <c r="L71" t="s">
        <v>34</v>
      </c>
      <c r="M71" t="s">
        <v>21</v>
      </c>
      <c r="N71" s="39">
        <v>6832</v>
      </c>
      <c r="O71">
        <v>27</v>
      </c>
      <c r="P71">
        <v>9</v>
      </c>
      <c r="Q71">
        <v>243</v>
      </c>
      <c r="R71">
        <v>6589</v>
      </c>
    </row>
    <row r="72" spans="3:18" x14ac:dyDescent="0.2">
      <c r="C72" s="37">
        <v>63</v>
      </c>
      <c r="K72" t="s">
        <v>6</v>
      </c>
      <c r="L72" t="s">
        <v>37</v>
      </c>
      <c r="M72" t="s">
        <v>26</v>
      </c>
      <c r="N72" s="39">
        <v>6818</v>
      </c>
      <c r="O72">
        <v>6</v>
      </c>
      <c r="P72">
        <v>5.6</v>
      </c>
      <c r="Q72">
        <v>33.599999999999994</v>
      </c>
      <c r="R72">
        <v>6784.4</v>
      </c>
    </row>
    <row r="73" spans="3:18" x14ac:dyDescent="0.2">
      <c r="C73" s="37">
        <v>93</v>
      </c>
      <c r="K73" t="s">
        <v>7</v>
      </c>
      <c r="L73" t="s">
        <v>35</v>
      </c>
      <c r="M73" t="s">
        <v>30</v>
      </c>
      <c r="N73" s="39">
        <v>6755</v>
      </c>
      <c r="O73">
        <v>252</v>
      </c>
      <c r="P73">
        <v>14.49</v>
      </c>
      <c r="Q73">
        <v>3651.48</v>
      </c>
      <c r="R73">
        <v>3103.52</v>
      </c>
    </row>
    <row r="74" spans="3:18" x14ac:dyDescent="0.2">
      <c r="C74" s="37">
        <v>9</v>
      </c>
      <c r="K74" t="s">
        <v>40</v>
      </c>
      <c r="L74" t="s">
        <v>34</v>
      </c>
      <c r="M74" t="s">
        <v>26</v>
      </c>
      <c r="N74" s="39">
        <v>6748</v>
      </c>
      <c r="O74">
        <v>48</v>
      </c>
      <c r="P74">
        <v>5.6</v>
      </c>
      <c r="Q74">
        <v>268.79999999999995</v>
      </c>
      <c r="R74">
        <v>6479.2</v>
      </c>
    </row>
    <row r="75" spans="3:18" x14ac:dyDescent="0.2">
      <c r="C75" s="37">
        <v>3</v>
      </c>
      <c r="K75" t="s">
        <v>6</v>
      </c>
      <c r="L75" t="s">
        <v>34</v>
      </c>
      <c r="M75" t="s">
        <v>32</v>
      </c>
      <c r="N75" s="39">
        <v>6734</v>
      </c>
      <c r="O75">
        <v>123</v>
      </c>
      <c r="P75">
        <v>8.65</v>
      </c>
      <c r="Q75">
        <v>1063.95</v>
      </c>
      <c r="R75">
        <v>5670.05</v>
      </c>
    </row>
    <row r="76" spans="3:18" x14ac:dyDescent="0.2">
      <c r="C76" s="37">
        <v>144</v>
      </c>
      <c r="K76" t="s">
        <v>8</v>
      </c>
      <c r="L76" t="s">
        <v>35</v>
      </c>
      <c r="M76" t="s">
        <v>32</v>
      </c>
      <c r="N76" s="39">
        <v>6706</v>
      </c>
      <c r="O76">
        <v>459</v>
      </c>
      <c r="P76">
        <v>8.65</v>
      </c>
      <c r="Q76">
        <v>3970.3500000000004</v>
      </c>
      <c r="R76">
        <v>2735.6499999999996</v>
      </c>
    </row>
    <row r="77" spans="3:18" x14ac:dyDescent="0.2">
      <c r="C77" s="37">
        <v>12</v>
      </c>
      <c r="K77" t="s">
        <v>10</v>
      </c>
      <c r="L77" t="s">
        <v>36</v>
      </c>
      <c r="M77" t="s">
        <v>32</v>
      </c>
      <c r="N77" s="39">
        <v>6657</v>
      </c>
      <c r="O77">
        <v>303</v>
      </c>
      <c r="P77">
        <v>8.65</v>
      </c>
      <c r="Q77">
        <v>2620.9500000000003</v>
      </c>
      <c r="R77">
        <v>4036.0499999999997</v>
      </c>
    </row>
    <row r="78" spans="3:18" x14ac:dyDescent="0.2">
      <c r="C78" s="37">
        <v>258</v>
      </c>
      <c r="K78" t="s">
        <v>3</v>
      </c>
      <c r="L78" t="s">
        <v>35</v>
      </c>
      <c r="M78" t="s">
        <v>15</v>
      </c>
      <c r="N78" s="39">
        <v>6657</v>
      </c>
      <c r="O78">
        <v>276</v>
      </c>
      <c r="P78">
        <v>11.73</v>
      </c>
      <c r="Q78">
        <v>3237.48</v>
      </c>
      <c r="R78">
        <v>3419.52</v>
      </c>
    </row>
    <row r="79" spans="3:18" x14ac:dyDescent="0.2">
      <c r="C79" s="37">
        <v>297</v>
      </c>
      <c r="K79" t="s">
        <v>7</v>
      </c>
      <c r="L79" t="s">
        <v>37</v>
      </c>
      <c r="M79" t="s">
        <v>14</v>
      </c>
      <c r="N79" s="39">
        <v>6608</v>
      </c>
      <c r="O79">
        <v>225</v>
      </c>
      <c r="P79">
        <v>11.7</v>
      </c>
      <c r="Q79">
        <v>2632.5</v>
      </c>
      <c r="R79">
        <v>3975.5</v>
      </c>
    </row>
    <row r="80" spans="3:18" x14ac:dyDescent="0.2">
      <c r="C80" s="37">
        <v>525</v>
      </c>
      <c r="K80" t="s">
        <v>2</v>
      </c>
      <c r="L80" t="s">
        <v>38</v>
      </c>
      <c r="M80" t="s">
        <v>28</v>
      </c>
      <c r="N80" s="39">
        <v>6580</v>
      </c>
      <c r="O80">
        <v>183</v>
      </c>
      <c r="P80">
        <v>10.38</v>
      </c>
      <c r="Q80">
        <v>1899.5400000000002</v>
      </c>
      <c r="R80">
        <v>4680.46</v>
      </c>
    </row>
    <row r="81" spans="3:18" x14ac:dyDescent="0.2">
      <c r="C81" s="37">
        <v>0</v>
      </c>
      <c r="K81" t="s">
        <v>7</v>
      </c>
      <c r="L81" t="s">
        <v>37</v>
      </c>
      <c r="M81" t="s">
        <v>30</v>
      </c>
      <c r="N81" s="39">
        <v>6454</v>
      </c>
      <c r="O81">
        <v>54</v>
      </c>
      <c r="P81">
        <v>14.49</v>
      </c>
      <c r="Q81">
        <v>782.46</v>
      </c>
      <c r="R81">
        <v>5671.54</v>
      </c>
    </row>
    <row r="82" spans="3:18" x14ac:dyDescent="0.2">
      <c r="C82" s="37">
        <v>156</v>
      </c>
      <c r="K82" t="s">
        <v>8</v>
      </c>
      <c r="L82" t="s">
        <v>38</v>
      </c>
      <c r="M82" t="s">
        <v>21</v>
      </c>
      <c r="N82" s="39">
        <v>6433</v>
      </c>
      <c r="O82">
        <v>78</v>
      </c>
      <c r="P82">
        <v>9</v>
      </c>
      <c r="Q82">
        <v>702</v>
      </c>
      <c r="R82">
        <v>5731</v>
      </c>
    </row>
    <row r="83" spans="3:18" x14ac:dyDescent="0.2">
      <c r="C83" s="37">
        <v>171</v>
      </c>
      <c r="K83" t="s">
        <v>41</v>
      </c>
      <c r="L83" t="s">
        <v>37</v>
      </c>
      <c r="M83" t="s">
        <v>24</v>
      </c>
      <c r="N83" s="39">
        <v>6398</v>
      </c>
      <c r="O83">
        <v>102</v>
      </c>
      <c r="P83">
        <v>4.97</v>
      </c>
      <c r="Q83">
        <v>506.94</v>
      </c>
      <c r="R83">
        <v>5891.06</v>
      </c>
    </row>
    <row r="84" spans="3:18" x14ac:dyDescent="0.2">
      <c r="C84" s="37">
        <v>279</v>
      </c>
      <c r="K84" t="s">
        <v>7</v>
      </c>
      <c r="L84" t="s">
        <v>37</v>
      </c>
      <c r="M84" t="s">
        <v>33</v>
      </c>
      <c r="N84" s="39">
        <v>6391</v>
      </c>
      <c r="O84">
        <v>48</v>
      </c>
      <c r="P84">
        <v>12.37</v>
      </c>
      <c r="Q84">
        <v>593.76</v>
      </c>
      <c r="R84">
        <v>5797.24</v>
      </c>
    </row>
    <row r="85" spans="3:18" x14ac:dyDescent="0.2">
      <c r="C85" s="37">
        <v>69</v>
      </c>
      <c r="K85" t="s">
        <v>40</v>
      </c>
      <c r="L85" t="s">
        <v>39</v>
      </c>
      <c r="M85" t="s">
        <v>27</v>
      </c>
      <c r="N85" s="39">
        <v>6370</v>
      </c>
      <c r="O85">
        <v>30</v>
      </c>
      <c r="P85">
        <v>16.73</v>
      </c>
      <c r="Q85">
        <v>501.90000000000003</v>
      </c>
      <c r="R85">
        <v>5868.1</v>
      </c>
    </row>
    <row r="86" spans="3:18" x14ac:dyDescent="0.2">
      <c r="C86" s="37">
        <v>300</v>
      </c>
      <c r="K86" t="s">
        <v>5</v>
      </c>
      <c r="L86" t="s">
        <v>36</v>
      </c>
      <c r="M86" t="s">
        <v>23</v>
      </c>
      <c r="N86" s="39">
        <v>6314</v>
      </c>
      <c r="O86">
        <v>15</v>
      </c>
      <c r="P86">
        <v>6.49</v>
      </c>
      <c r="Q86">
        <v>97.350000000000009</v>
      </c>
      <c r="R86">
        <v>6216.65</v>
      </c>
    </row>
    <row r="87" spans="3:18" x14ac:dyDescent="0.2">
      <c r="C87" s="37">
        <v>246</v>
      </c>
      <c r="K87" t="s">
        <v>3</v>
      </c>
      <c r="L87" t="s">
        <v>34</v>
      </c>
      <c r="M87" t="s">
        <v>25</v>
      </c>
      <c r="N87" s="39">
        <v>6300</v>
      </c>
      <c r="O87">
        <v>42</v>
      </c>
      <c r="P87">
        <v>13.15</v>
      </c>
      <c r="Q87">
        <v>552.30000000000007</v>
      </c>
      <c r="R87">
        <v>5747.7</v>
      </c>
    </row>
    <row r="88" spans="3:18" x14ac:dyDescent="0.2">
      <c r="C88" s="37">
        <v>324</v>
      </c>
      <c r="K88" t="s">
        <v>5</v>
      </c>
      <c r="L88" t="s">
        <v>34</v>
      </c>
      <c r="M88" t="s">
        <v>22</v>
      </c>
      <c r="N88" s="39">
        <v>6279</v>
      </c>
      <c r="O88">
        <v>237</v>
      </c>
      <c r="P88">
        <v>9.77</v>
      </c>
      <c r="Q88">
        <v>2315.4899999999998</v>
      </c>
      <c r="R88">
        <v>3963.51</v>
      </c>
    </row>
    <row r="89" spans="3:18" x14ac:dyDescent="0.2">
      <c r="C89" s="37">
        <v>240</v>
      </c>
      <c r="K89" t="s">
        <v>8</v>
      </c>
      <c r="L89" t="s">
        <v>37</v>
      </c>
      <c r="M89" t="s">
        <v>26</v>
      </c>
      <c r="N89" s="39">
        <v>6279</v>
      </c>
      <c r="O89">
        <v>45</v>
      </c>
      <c r="P89">
        <v>5.6</v>
      </c>
      <c r="Q89">
        <v>251.99999999999997</v>
      </c>
      <c r="R89">
        <v>6027</v>
      </c>
    </row>
    <row r="90" spans="3:18" x14ac:dyDescent="0.2">
      <c r="C90" s="37">
        <v>333</v>
      </c>
      <c r="K90" t="s">
        <v>5</v>
      </c>
      <c r="L90" t="s">
        <v>36</v>
      </c>
      <c r="M90" t="s">
        <v>13</v>
      </c>
      <c r="N90" s="39">
        <v>6146</v>
      </c>
      <c r="O90">
        <v>63</v>
      </c>
      <c r="P90">
        <v>9.33</v>
      </c>
      <c r="Q90">
        <v>587.79</v>
      </c>
      <c r="R90">
        <v>5558.21</v>
      </c>
    </row>
    <row r="91" spans="3:18" x14ac:dyDescent="0.2">
      <c r="C91" s="37">
        <v>111</v>
      </c>
      <c r="K91" t="s">
        <v>40</v>
      </c>
      <c r="L91" t="s">
        <v>37</v>
      </c>
      <c r="M91" t="s">
        <v>27</v>
      </c>
      <c r="N91" s="39">
        <v>6132</v>
      </c>
      <c r="O91">
        <v>93</v>
      </c>
      <c r="P91">
        <v>16.73</v>
      </c>
      <c r="Q91">
        <v>1555.89</v>
      </c>
      <c r="R91">
        <v>4576.1099999999997</v>
      </c>
    </row>
    <row r="92" spans="3:18" x14ac:dyDescent="0.2">
      <c r="C92" s="37">
        <v>357</v>
      </c>
      <c r="K92" t="s">
        <v>40</v>
      </c>
      <c r="L92" t="s">
        <v>38</v>
      </c>
      <c r="M92" t="s">
        <v>4</v>
      </c>
      <c r="N92" s="39">
        <v>6125</v>
      </c>
      <c r="O92">
        <v>102</v>
      </c>
      <c r="P92">
        <v>11.88</v>
      </c>
      <c r="Q92">
        <v>1211.76</v>
      </c>
      <c r="R92">
        <v>4913.24</v>
      </c>
    </row>
    <row r="93" spans="3:18" x14ac:dyDescent="0.2">
      <c r="C93" s="37">
        <v>153</v>
      </c>
      <c r="K93" t="s">
        <v>6</v>
      </c>
      <c r="L93" t="s">
        <v>36</v>
      </c>
      <c r="M93" t="s">
        <v>32</v>
      </c>
      <c r="N93" s="39">
        <v>6118</v>
      </c>
      <c r="O93">
        <v>9</v>
      </c>
      <c r="P93">
        <v>8.65</v>
      </c>
      <c r="Q93">
        <v>77.850000000000009</v>
      </c>
      <c r="R93">
        <v>6040.15</v>
      </c>
    </row>
    <row r="94" spans="3:18" x14ac:dyDescent="0.2">
      <c r="C94" s="37">
        <v>348</v>
      </c>
      <c r="K94" t="s">
        <v>41</v>
      </c>
      <c r="L94" t="s">
        <v>36</v>
      </c>
      <c r="M94" t="s">
        <v>30</v>
      </c>
      <c r="N94" s="39">
        <v>6118</v>
      </c>
      <c r="O94">
        <v>174</v>
      </c>
      <c r="P94">
        <v>14.49</v>
      </c>
      <c r="Q94">
        <v>2521.2600000000002</v>
      </c>
      <c r="R94">
        <v>3596.74</v>
      </c>
    </row>
    <row r="95" spans="3:18" x14ac:dyDescent="0.2">
      <c r="C95" s="37">
        <v>60</v>
      </c>
      <c r="K95" t="s">
        <v>5</v>
      </c>
      <c r="L95" t="s">
        <v>36</v>
      </c>
      <c r="M95" t="s">
        <v>18</v>
      </c>
      <c r="N95" s="39">
        <v>6111</v>
      </c>
      <c r="O95">
        <v>3</v>
      </c>
      <c r="P95">
        <v>6.47</v>
      </c>
      <c r="Q95">
        <v>19.41</v>
      </c>
      <c r="R95">
        <v>6091.59</v>
      </c>
    </row>
    <row r="96" spans="3:18" x14ac:dyDescent="0.2">
      <c r="C96" s="37">
        <v>24</v>
      </c>
      <c r="K96" t="s">
        <v>6</v>
      </c>
      <c r="L96" t="s">
        <v>39</v>
      </c>
      <c r="M96" t="s">
        <v>17</v>
      </c>
      <c r="N96" s="39">
        <v>6048</v>
      </c>
      <c r="O96">
        <v>27</v>
      </c>
      <c r="P96">
        <v>3.11</v>
      </c>
      <c r="Q96">
        <v>83.97</v>
      </c>
      <c r="R96">
        <v>5964.03</v>
      </c>
    </row>
    <row r="97" spans="3:18" x14ac:dyDescent="0.2">
      <c r="C97" s="37">
        <v>306</v>
      </c>
      <c r="K97" t="s">
        <v>2</v>
      </c>
      <c r="L97" t="s">
        <v>39</v>
      </c>
      <c r="M97" t="s">
        <v>28</v>
      </c>
      <c r="N97" s="39">
        <v>6027</v>
      </c>
      <c r="O97">
        <v>144</v>
      </c>
      <c r="P97">
        <v>10.38</v>
      </c>
      <c r="Q97">
        <v>1494.72</v>
      </c>
      <c r="R97">
        <v>4532.28</v>
      </c>
    </row>
    <row r="98" spans="3:18" x14ac:dyDescent="0.2">
      <c r="C98" s="37">
        <v>177</v>
      </c>
      <c r="K98" t="s">
        <v>41</v>
      </c>
      <c r="L98" t="s">
        <v>38</v>
      </c>
      <c r="M98" t="s">
        <v>22</v>
      </c>
      <c r="N98" s="39">
        <v>5915</v>
      </c>
      <c r="O98">
        <v>3</v>
      </c>
      <c r="P98">
        <v>9.77</v>
      </c>
      <c r="Q98">
        <v>29.31</v>
      </c>
      <c r="R98">
        <v>5885.69</v>
      </c>
    </row>
    <row r="99" spans="3:18" x14ac:dyDescent="0.2">
      <c r="C99" s="37">
        <v>165</v>
      </c>
      <c r="K99" t="s">
        <v>40</v>
      </c>
      <c r="L99" t="s">
        <v>39</v>
      </c>
      <c r="M99" t="s">
        <v>22</v>
      </c>
      <c r="N99" s="39">
        <v>5817</v>
      </c>
      <c r="O99">
        <v>12</v>
      </c>
      <c r="P99">
        <v>9.77</v>
      </c>
      <c r="Q99">
        <v>117.24</v>
      </c>
      <c r="R99">
        <v>5699.76</v>
      </c>
    </row>
    <row r="100" spans="3:18" x14ac:dyDescent="0.2">
      <c r="C100" s="37">
        <v>366</v>
      </c>
      <c r="K100" t="s">
        <v>40</v>
      </c>
      <c r="L100" t="s">
        <v>39</v>
      </c>
      <c r="M100" t="s">
        <v>15</v>
      </c>
      <c r="N100" s="39">
        <v>5775</v>
      </c>
      <c r="O100">
        <v>42</v>
      </c>
      <c r="P100">
        <v>11.73</v>
      </c>
      <c r="Q100">
        <v>492.66</v>
      </c>
      <c r="R100">
        <v>5282.34</v>
      </c>
    </row>
    <row r="101" spans="3:18" x14ac:dyDescent="0.2">
      <c r="C101" s="37">
        <v>378</v>
      </c>
      <c r="K101" t="s">
        <v>7</v>
      </c>
      <c r="L101" t="s">
        <v>38</v>
      </c>
      <c r="M101" t="s">
        <v>28</v>
      </c>
      <c r="N101" s="39">
        <v>5677</v>
      </c>
      <c r="O101">
        <v>258</v>
      </c>
      <c r="P101">
        <v>10.38</v>
      </c>
      <c r="Q101">
        <v>2678.0400000000004</v>
      </c>
      <c r="R101">
        <v>2998.9599999999996</v>
      </c>
    </row>
    <row r="102" spans="3:18" x14ac:dyDescent="0.2">
      <c r="C102" s="37">
        <v>114</v>
      </c>
      <c r="K102" t="s">
        <v>40</v>
      </c>
      <c r="L102" t="s">
        <v>38</v>
      </c>
      <c r="M102" t="s">
        <v>13</v>
      </c>
      <c r="N102" s="39">
        <v>5670</v>
      </c>
      <c r="O102">
        <v>297</v>
      </c>
      <c r="P102">
        <v>9.33</v>
      </c>
      <c r="Q102">
        <v>2771.01</v>
      </c>
      <c r="R102">
        <v>2898.99</v>
      </c>
    </row>
    <row r="103" spans="3:18" x14ac:dyDescent="0.2">
      <c r="C103" s="37">
        <v>363</v>
      </c>
      <c r="K103" t="s">
        <v>10</v>
      </c>
      <c r="L103" t="s">
        <v>38</v>
      </c>
      <c r="M103" t="s">
        <v>14</v>
      </c>
      <c r="N103" s="39">
        <v>5586</v>
      </c>
      <c r="O103">
        <v>525</v>
      </c>
      <c r="P103">
        <v>11.7</v>
      </c>
      <c r="Q103">
        <v>6142.5</v>
      </c>
      <c r="R103">
        <v>-556.5</v>
      </c>
    </row>
    <row r="104" spans="3:18" x14ac:dyDescent="0.2">
      <c r="C104" s="37">
        <v>18</v>
      </c>
      <c r="K104" t="s">
        <v>7</v>
      </c>
      <c r="L104" t="s">
        <v>36</v>
      </c>
      <c r="M104" t="s">
        <v>29</v>
      </c>
      <c r="N104" s="39">
        <v>5551</v>
      </c>
      <c r="O104">
        <v>252</v>
      </c>
      <c r="P104">
        <v>7.16</v>
      </c>
      <c r="Q104">
        <v>1804.32</v>
      </c>
      <c r="R104">
        <v>3746.6800000000003</v>
      </c>
    </row>
    <row r="105" spans="3:18" x14ac:dyDescent="0.2">
      <c r="C105" s="37">
        <v>342</v>
      </c>
      <c r="K105" t="s">
        <v>5</v>
      </c>
      <c r="L105" t="s">
        <v>38</v>
      </c>
      <c r="M105" t="s">
        <v>19</v>
      </c>
      <c r="N105" s="39">
        <v>5474</v>
      </c>
      <c r="O105">
        <v>168</v>
      </c>
      <c r="P105">
        <v>7.64</v>
      </c>
      <c r="Q105">
        <v>1283.52</v>
      </c>
      <c r="R105">
        <v>4190.4799999999996</v>
      </c>
    </row>
    <row r="106" spans="3:18" x14ac:dyDescent="0.2">
      <c r="C106" s="37">
        <v>99</v>
      </c>
      <c r="K106" t="s">
        <v>40</v>
      </c>
      <c r="L106" t="s">
        <v>36</v>
      </c>
      <c r="M106" t="s">
        <v>25</v>
      </c>
      <c r="N106" s="39">
        <v>5439</v>
      </c>
      <c r="O106">
        <v>30</v>
      </c>
      <c r="P106">
        <v>13.15</v>
      </c>
      <c r="Q106">
        <v>394.5</v>
      </c>
      <c r="R106">
        <v>5044.5</v>
      </c>
    </row>
    <row r="107" spans="3:18" x14ac:dyDescent="0.2">
      <c r="C107" s="37">
        <v>255</v>
      </c>
      <c r="K107" t="s">
        <v>10</v>
      </c>
      <c r="L107" t="s">
        <v>34</v>
      </c>
      <c r="M107" t="s">
        <v>19</v>
      </c>
      <c r="N107" s="39">
        <v>5355</v>
      </c>
      <c r="O107">
        <v>204</v>
      </c>
      <c r="P107">
        <v>7.64</v>
      </c>
      <c r="Q107">
        <v>1558.56</v>
      </c>
      <c r="R107">
        <v>3796.44</v>
      </c>
    </row>
    <row r="108" spans="3:18" x14ac:dyDescent="0.2">
      <c r="C108" s="37">
        <v>261</v>
      </c>
      <c r="K108" t="s">
        <v>7</v>
      </c>
      <c r="L108" t="s">
        <v>37</v>
      </c>
      <c r="M108" t="s">
        <v>26</v>
      </c>
      <c r="N108" s="39">
        <v>5306</v>
      </c>
      <c r="O108">
        <v>0</v>
      </c>
      <c r="P108">
        <v>5.6</v>
      </c>
      <c r="Q108">
        <v>0</v>
      </c>
      <c r="R108">
        <v>5306</v>
      </c>
    </row>
    <row r="109" spans="3:18" x14ac:dyDescent="0.2">
      <c r="C109" s="37">
        <v>447</v>
      </c>
      <c r="K109" t="s">
        <v>5</v>
      </c>
      <c r="L109" t="s">
        <v>39</v>
      </c>
      <c r="M109" t="s">
        <v>26</v>
      </c>
      <c r="N109" s="39">
        <v>5236</v>
      </c>
      <c r="O109">
        <v>51</v>
      </c>
      <c r="P109">
        <v>5.6</v>
      </c>
      <c r="Q109">
        <v>285.59999999999997</v>
      </c>
      <c r="R109">
        <v>4950.3999999999996</v>
      </c>
    </row>
    <row r="110" spans="3:18" x14ac:dyDescent="0.2">
      <c r="C110" s="37">
        <v>117</v>
      </c>
      <c r="K110" t="s">
        <v>7</v>
      </c>
      <c r="L110" t="s">
        <v>35</v>
      </c>
      <c r="M110" t="s">
        <v>28</v>
      </c>
      <c r="N110" s="39">
        <v>5194</v>
      </c>
      <c r="O110">
        <v>288</v>
      </c>
      <c r="P110">
        <v>10.38</v>
      </c>
      <c r="Q110">
        <v>2989.44</v>
      </c>
      <c r="R110">
        <v>2204.56</v>
      </c>
    </row>
    <row r="111" spans="3:18" x14ac:dyDescent="0.2">
      <c r="C111" s="37">
        <v>141</v>
      </c>
      <c r="K111" t="s">
        <v>5</v>
      </c>
      <c r="L111" t="s">
        <v>38</v>
      </c>
      <c r="M111" t="s">
        <v>32</v>
      </c>
      <c r="N111" s="39">
        <v>5075</v>
      </c>
      <c r="O111">
        <v>21</v>
      </c>
      <c r="P111">
        <v>8.65</v>
      </c>
      <c r="Q111">
        <v>181.65</v>
      </c>
      <c r="R111">
        <v>4893.3500000000004</v>
      </c>
    </row>
    <row r="112" spans="3:18" x14ac:dyDescent="0.2">
      <c r="C112" s="37">
        <v>186</v>
      </c>
      <c r="K112" t="s">
        <v>40</v>
      </c>
      <c r="L112" t="s">
        <v>34</v>
      </c>
      <c r="M112" t="s">
        <v>17</v>
      </c>
      <c r="N112" s="39">
        <v>5019</v>
      </c>
      <c r="O112">
        <v>156</v>
      </c>
      <c r="P112">
        <v>3.11</v>
      </c>
      <c r="Q112">
        <v>485.15999999999997</v>
      </c>
      <c r="R112">
        <v>4533.84</v>
      </c>
    </row>
    <row r="113" spans="3:18" x14ac:dyDescent="0.2">
      <c r="C113" s="37">
        <v>66</v>
      </c>
      <c r="K113" t="s">
        <v>8</v>
      </c>
      <c r="L113" t="s">
        <v>36</v>
      </c>
      <c r="M113" t="s">
        <v>23</v>
      </c>
      <c r="N113" s="39">
        <v>5019</v>
      </c>
      <c r="O113">
        <v>150</v>
      </c>
      <c r="P113">
        <v>6.49</v>
      </c>
      <c r="Q113">
        <v>973.5</v>
      </c>
      <c r="R113">
        <v>4045.5</v>
      </c>
    </row>
    <row r="114" spans="3:18" x14ac:dyDescent="0.2">
      <c r="C114" s="37">
        <v>414</v>
      </c>
      <c r="K114" t="s">
        <v>8</v>
      </c>
      <c r="L114" t="s">
        <v>35</v>
      </c>
      <c r="M114" t="s">
        <v>22</v>
      </c>
      <c r="N114" s="39">
        <v>5012</v>
      </c>
      <c r="O114">
        <v>210</v>
      </c>
      <c r="P114">
        <v>9.77</v>
      </c>
      <c r="Q114">
        <v>2051.6999999999998</v>
      </c>
      <c r="R114">
        <v>2960.3</v>
      </c>
    </row>
    <row r="115" spans="3:18" x14ac:dyDescent="0.2">
      <c r="C115" s="37">
        <v>219</v>
      </c>
      <c r="K115" t="s">
        <v>10</v>
      </c>
      <c r="L115" t="s">
        <v>34</v>
      </c>
      <c r="M115" t="s">
        <v>26</v>
      </c>
      <c r="N115" s="39">
        <v>4991</v>
      </c>
      <c r="O115">
        <v>9</v>
      </c>
      <c r="P115">
        <v>5.6</v>
      </c>
      <c r="Q115">
        <v>50.4</v>
      </c>
      <c r="R115">
        <v>4940.6000000000004</v>
      </c>
    </row>
    <row r="116" spans="3:18" x14ac:dyDescent="0.2">
      <c r="C116" s="37">
        <v>195</v>
      </c>
      <c r="K116" t="s">
        <v>5</v>
      </c>
      <c r="L116" t="s">
        <v>37</v>
      </c>
      <c r="M116" t="s">
        <v>14</v>
      </c>
      <c r="N116" s="39">
        <v>4991</v>
      </c>
      <c r="O116">
        <v>12</v>
      </c>
      <c r="P116">
        <v>11.7</v>
      </c>
      <c r="Q116">
        <v>140.39999999999998</v>
      </c>
      <c r="R116">
        <v>4850.6000000000004</v>
      </c>
    </row>
    <row r="117" spans="3:18" x14ac:dyDescent="0.2">
      <c r="C117" s="37">
        <v>369</v>
      </c>
      <c r="K117" t="s">
        <v>6</v>
      </c>
      <c r="L117" t="s">
        <v>36</v>
      </c>
      <c r="M117" t="s">
        <v>17</v>
      </c>
      <c r="N117" s="39">
        <v>4970</v>
      </c>
      <c r="O117">
        <v>156</v>
      </c>
      <c r="P117">
        <v>3.11</v>
      </c>
      <c r="Q117">
        <v>485.15999999999997</v>
      </c>
      <c r="R117">
        <v>4484.84</v>
      </c>
    </row>
    <row r="118" spans="3:18" x14ac:dyDescent="0.2">
      <c r="C118" s="37">
        <v>192</v>
      </c>
      <c r="K118" t="s">
        <v>3</v>
      </c>
      <c r="L118" t="s">
        <v>39</v>
      </c>
      <c r="M118" t="s">
        <v>26</v>
      </c>
      <c r="N118" s="39">
        <v>4956</v>
      </c>
      <c r="O118">
        <v>171</v>
      </c>
      <c r="P118">
        <v>5.6</v>
      </c>
      <c r="Q118">
        <v>957.59999999999991</v>
      </c>
      <c r="R118">
        <v>3998.4</v>
      </c>
    </row>
    <row r="119" spans="3:18" x14ac:dyDescent="0.2">
      <c r="C119" s="37">
        <v>405</v>
      </c>
      <c r="K119" t="s">
        <v>6</v>
      </c>
      <c r="L119" t="s">
        <v>37</v>
      </c>
      <c r="M119" t="s">
        <v>23</v>
      </c>
      <c r="N119" s="39">
        <v>4949</v>
      </c>
      <c r="O119">
        <v>189</v>
      </c>
      <c r="P119">
        <v>6.49</v>
      </c>
      <c r="Q119">
        <v>1226.6100000000001</v>
      </c>
      <c r="R119">
        <v>3722.39</v>
      </c>
    </row>
    <row r="120" spans="3:18" x14ac:dyDescent="0.2">
      <c r="C120" s="37">
        <v>462</v>
      </c>
      <c r="K120" t="s">
        <v>41</v>
      </c>
      <c r="L120" t="s">
        <v>34</v>
      </c>
      <c r="M120" t="s">
        <v>23</v>
      </c>
      <c r="N120" s="39">
        <v>4935</v>
      </c>
      <c r="O120">
        <v>126</v>
      </c>
      <c r="P120">
        <v>6.49</v>
      </c>
      <c r="Q120">
        <v>817.74</v>
      </c>
      <c r="R120">
        <v>4117.26</v>
      </c>
    </row>
    <row r="121" spans="3:18" x14ac:dyDescent="0.2">
      <c r="C121" s="37">
        <v>270</v>
      </c>
      <c r="K121" t="s">
        <v>10</v>
      </c>
      <c r="L121" t="s">
        <v>39</v>
      </c>
      <c r="M121" t="s">
        <v>21</v>
      </c>
      <c r="N121" s="39">
        <v>4858</v>
      </c>
      <c r="O121">
        <v>279</v>
      </c>
      <c r="P121">
        <v>9</v>
      </c>
      <c r="Q121">
        <v>2511</v>
      </c>
      <c r="R121">
        <v>2347</v>
      </c>
    </row>
    <row r="122" spans="3:18" x14ac:dyDescent="0.2">
      <c r="C122" s="37">
        <v>105</v>
      </c>
      <c r="K122" t="s">
        <v>2</v>
      </c>
      <c r="L122" t="s">
        <v>39</v>
      </c>
      <c r="M122" t="s">
        <v>15</v>
      </c>
      <c r="N122" s="39">
        <v>4802</v>
      </c>
      <c r="O122">
        <v>36</v>
      </c>
      <c r="P122">
        <v>11.73</v>
      </c>
      <c r="Q122">
        <v>422.28000000000003</v>
      </c>
      <c r="R122">
        <v>4379.72</v>
      </c>
    </row>
    <row r="123" spans="3:18" x14ac:dyDescent="0.2">
      <c r="C123" s="37">
        <v>402</v>
      </c>
      <c r="K123" t="s">
        <v>6</v>
      </c>
      <c r="L123" t="s">
        <v>35</v>
      </c>
      <c r="M123" t="s">
        <v>30</v>
      </c>
      <c r="N123" s="39">
        <v>4781</v>
      </c>
      <c r="O123">
        <v>123</v>
      </c>
      <c r="P123">
        <v>14.49</v>
      </c>
      <c r="Q123">
        <v>1782.27</v>
      </c>
      <c r="R123">
        <v>2998.73</v>
      </c>
    </row>
    <row r="124" spans="3:18" x14ac:dyDescent="0.2">
      <c r="C124" s="37">
        <v>282</v>
      </c>
      <c r="K124" t="s">
        <v>41</v>
      </c>
      <c r="L124" t="s">
        <v>35</v>
      </c>
      <c r="M124" t="s">
        <v>13</v>
      </c>
      <c r="N124" s="39">
        <v>4760</v>
      </c>
      <c r="O124">
        <v>69</v>
      </c>
      <c r="P124">
        <v>9.33</v>
      </c>
      <c r="Q124">
        <v>643.77</v>
      </c>
      <c r="R124">
        <v>4116.2299999999996</v>
      </c>
    </row>
    <row r="125" spans="3:18" x14ac:dyDescent="0.2">
      <c r="C125" s="37">
        <v>273</v>
      </c>
      <c r="K125" t="s">
        <v>8</v>
      </c>
      <c r="L125" t="s">
        <v>35</v>
      </c>
      <c r="M125" t="s">
        <v>27</v>
      </c>
      <c r="N125" s="39">
        <v>4753</v>
      </c>
      <c r="O125">
        <v>300</v>
      </c>
      <c r="P125">
        <v>16.73</v>
      </c>
      <c r="Q125">
        <v>5019</v>
      </c>
      <c r="R125">
        <v>-266</v>
      </c>
    </row>
    <row r="126" spans="3:18" x14ac:dyDescent="0.2">
      <c r="C126" s="37">
        <v>198</v>
      </c>
      <c r="K126" t="s">
        <v>5</v>
      </c>
      <c r="L126" t="s">
        <v>35</v>
      </c>
      <c r="M126" t="s">
        <v>31</v>
      </c>
      <c r="N126" s="39">
        <v>4753</v>
      </c>
      <c r="O126">
        <v>246</v>
      </c>
      <c r="P126">
        <v>5.79</v>
      </c>
      <c r="Q126">
        <v>1424.34</v>
      </c>
      <c r="R126">
        <v>3328.66</v>
      </c>
    </row>
    <row r="127" spans="3:18" x14ac:dyDescent="0.2">
      <c r="C127" s="37">
        <v>147</v>
      </c>
      <c r="K127" t="s">
        <v>40</v>
      </c>
      <c r="L127" t="s">
        <v>35</v>
      </c>
      <c r="M127" t="s">
        <v>16</v>
      </c>
      <c r="N127" s="39">
        <v>4725</v>
      </c>
      <c r="O127">
        <v>174</v>
      </c>
      <c r="P127">
        <v>8.7899999999999991</v>
      </c>
      <c r="Q127">
        <v>1529.4599999999998</v>
      </c>
      <c r="R127">
        <v>3195.54</v>
      </c>
    </row>
    <row r="128" spans="3:18" x14ac:dyDescent="0.2">
      <c r="C128" s="37">
        <v>309</v>
      </c>
      <c r="K128" t="s">
        <v>10</v>
      </c>
      <c r="L128" t="s">
        <v>37</v>
      </c>
      <c r="M128" t="s">
        <v>23</v>
      </c>
      <c r="N128" s="39">
        <v>4683</v>
      </c>
      <c r="O128">
        <v>30</v>
      </c>
      <c r="P128">
        <v>6.49</v>
      </c>
      <c r="Q128">
        <v>194.70000000000002</v>
      </c>
      <c r="R128">
        <v>4488.3</v>
      </c>
    </row>
    <row r="129" spans="3:18" x14ac:dyDescent="0.2">
      <c r="C129" s="37">
        <v>129</v>
      </c>
      <c r="K129" t="s">
        <v>7</v>
      </c>
      <c r="L129" t="s">
        <v>35</v>
      </c>
      <c r="M129" t="s">
        <v>14</v>
      </c>
      <c r="N129" s="39">
        <v>4606</v>
      </c>
      <c r="O129">
        <v>63</v>
      </c>
      <c r="P129">
        <v>11.7</v>
      </c>
      <c r="Q129">
        <v>737.09999999999991</v>
      </c>
      <c r="R129">
        <v>3868.9</v>
      </c>
    </row>
    <row r="130" spans="3:18" x14ac:dyDescent="0.2">
      <c r="C130" s="37">
        <v>510</v>
      </c>
      <c r="K130" t="s">
        <v>3</v>
      </c>
      <c r="L130" t="s">
        <v>37</v>
      </c>
      <c r="M130" t="s">
        <v>29</v>
      </c>
      <c r="N130" s="39">
        <v>4592</v>
      </c>
      <c r="O130">
        <v>324</v>
      </c>
      <c r="P130">
        <v>7.16</v>
      </c>
      <c r="Q130">
        <v>2319.84</v>
      </c>
      <c r="R130">
        <v>2272.16</v>
      </c>
    </row>
    <row r="131" spans="3:18" x14ac:dyDescent="0.2">
      <c r="C131" s="37">
        <v>519</v>
      </c>
      <c r="K131" t="s">
        <v>7</v>
      </c>
      <c r="L131" t="s">
        <v>35</v>
      </c>
      <c r="M131" t="s">
        <v>19</v>
      </c>
      <c r="N131" s="39">
        <v>4585</v>
      </c>
      <c r="O131">
        <v>240</v>
      </c>
      <c r="P131">
        <v>7.64</v>
      </c>
      <c r="Q131">
        <v>1833.6</v>
      </c>
      <c r="R131">
        <v>2751.4</v>
      </c>
    </row>
    <row r="132" spans="3:18" x14ac:dyDescent="0.2">
      <c r="C132" s="37">
        <v>228</v>
      </c>
      <c r="K132" t="s">
        <v>7</v>
      </c>
      <c r="L132" t="s">
        <v>37</v>
      </c>
      <c r="M132" t="s">
        <v>16</v>
      </c>
      <c r="N132" s="39">
        <v>4487</v>
      </c>
      <c r="O132">
        <v>333</v>
      </c>
      <c r="P132">
        <v>8.7899999999999991</v>
      </c>
      <c r="Q132">
        <v>2927.0699999999997</v>
      </c>
      <c r="R132">
        <v>1559.9300000000003</v>
      </c>
    </row>
    <row r="133" spans="3:18" x14ac:dyDescent="0.2">
      <c r="C133" s="37">
        <v>249</v>
      </c>
      <c r="K133" t="s">
        <v>7</v>
      </c>
      <c r="L133" t="s">
        <v>37</v>
      </c>
      <c r="M133" t="s">
        <v>17</v>
      </c>
      <c r="N133" s="39">
        <v>4487</v>
      </c>
      <c r="O133">
        <v>111</v>
      </c>
      <c r="P133">
        <v>3.11</v>
      </c>
      <c r="Q133">
        <v>345.21</v>
      </c>
      <c r="R133">
        <v>4141.79</v>
      </c>
    </row>
    <row r="134" spans="3:18" x14ac:dyDescent="0.2">
      <c r="K134" t="s">
        <v>5</v>
      </c>
      <c r="L134" t="s">
        <v>35</v>
      </c>
      <c r="M134" t="s">
        <v>29</v>
      </c>
      <c r="N134" s="39">
        <v>4480</v>
      </c>
      <c r="O134">
        <v>357</v>
      </c>
      <c r="P134">
        <v>7.16</v>
      </c>
      <c r="Q134">
        <v>2556.12</v>
      </c>
      <c r="R134">
        <v>1923.88</v>
      </c>
    </row>
    <row r="135" spans="3:18" x14ac:dyDescent="0.2">
      <c r="K135" t="s">
        <v>7</v>
      </c>
      <c r="L135" t="s">
        <v>39</v>
      </c>
      <c r="M135" t="s">
        <v>17</v>
      </c>
      <c r="N135" s="39">
        <v>4438</v>
      </c>
      <c r="O135">
        <v>246</v>
      </c>
      <c r="P135">
        <v>3.11</v>
      </c>
      <c r="Q135">
        <v>765.06</v>
      </c>
      <c r="R135">
        <v>3672.94</v>
      </c>
    </row>
    <row r="136" spans="3:18" x14ac:dyDescent="0.2">
      <c r="K136" t="s">
        <v>40</v>
      </c>
      <c r="L136" t="s">
        <v>36</v>
      </c>
      <c r="M136" t="s">
        <v>13</v>
      </c>
      <c r="N136" s="39">
        <v>4424</v>
      </c>
      <c r="O136">
        <v>201</v>
      </c>
      <c r="P136">
        <v>9.33</v>
      </c>
      <c r="Q136">
        <v>1875.33</v>
      </c>
      <c r="R136">
        <v>2548.67</v>
      </c>
    </row>
    <row r="137" spans="3:18" x14ac:dyDescent="0.2">
      <c r="K137" t="s">
        <v>2</v>
      </c>
      <c r="L137" t="s">
        <v>38</v>
      </c>
      <c r="M137" t="s">
        <v>23</v>
      </c>
      <c r="N137" s="39">
        <v>4417</v>
      </c>
      <c r="O137">
        <v>153</v>
      </c>
      <c r="P137">
        <v>6.49</v>
      </c>
      <c r="Q137">
        <v>992.97</v>
      </c>
      <c r="R137">
        <v>3424.0299999999997</v>
      </c>
    </row>
    <row r="138" spans="3:18" x14ac:dyDescent="0.2">
      <c r="K138" t="s">
        <v>2</v>
      </c>
      <c r="L138" t="s">
        <v>38</v>
      </c>
      <c r="M138" t="s">
        <v>31</v>
      </c>
      <c r="N138" s="39">
        <v>4326</v>
      </c>
      <c r="O138">
        <v>348</v>
      </c>
      <c r="P138">
        <v>5.79</v>
      </c>
      <c r="Q138">
        <v>2014.92</v>
      </c>
      <c r="R138">
        <v>2311.08</v>
      </c>
    </row>
    <row r="139" spans="3:18" x14ac:dyDescent="0.2">
      <c r="K139" t="s">
        <v>6</v>
      </c>
      <c r="L139" t="s">
        <v>36</v>
      </c>
      <c r="M139" t="s">
        <v>13</v>
      </c>
      <c r="N139" s="39">
        <v>4319</v>
      </c>
      <c r="O139">
        <v>30</v>
      </c>
      <c r="P139">
        <v>9.33</v>
      </c>
      <c r="Q139">
        <v>279.89999999999998</v>
      </c>
      <c r="R139">
        <v>4039.1</v>
      </c>
    </row>
    <row r="140" spans="3:18" x14ac:dyDescent="0.2">
      <c r="K140" t="s">
        <v>9</v>
      </c>
      <c r="L140" t="s">
        <v>37</v>
      </c>
      <c r="M140" t="s">
        <v>25</v>
      </c>
      <c r="N140" s="39">
        <v>4305</v>
      </c>
      <c r="O140">
        <v>156</v>
      </c>
      <c r="P140">
        <v>13.15</v>
      </c>
      <c r="Q140">
        <v>2051.4</v>
      </c>
      <c r="R140">
        <v>2253.6</v>
      </c>
    </row>
    <row r="141" spans="3:18" x14ac:dyDescent="0.2">
      <c r="K141" t="s">
        <v>6</v>
      </c>
      <c r="L141" t="s">
        <v>34</v>
      </c>
      <c r="M141" t="s">
        <v>27</v>
      </c>
      <c r="N141" s="39">
        <v>4242</v>
      </c>
      <c r="O141">
        <v>207</v>
      </c>
      <c r="P141">
        <v>16.73</v>
      </c>
      <c r="Q141">
        <v>3463.11</v>
      </c>
      <c r="R141">
        <v>778.88999999999987</v>
      </c>
    </row>
    <row r="142" spans="3:18" x14ac:dyDescent="0.2">
      <c r="K142" t="s">
        <v>9</v>
      </c>
      <c r="L142" t="s">
        <v>38</v>
      </c>
      <c r="M142" t="s">
        <v>24</v>
      </c>
      <c r="N142" s="39">
        <v>4137</v>
      </c>
      <c r="O142">
        <v>60</v>
      </c>
      <c r="P142">
        <v>4.97</v>
      </c>
      <c r="Q142">
        <v>298.2</v>
      </c>
      <c r="R142">
        <v>3838.8</v>
      </c>
    </row>
    <row r="143" spans="3:18" x14ac:dyDescent="0.2">
      <c r="K143" t="s">
        <v>10</v>
      </c>
      <c r="L143" t="s">
        <v>34</v>
      </c>
      <c r="M143" t="s">
        <v>22</v>
      </c>
      <c r="N143" s="39">
        <v>4053</v>
      </c>
      <c r="O143">
        <v>24</v>
      </c>
      <c r="P143">
        <v>9.77</v>
      </c>
      <c r="Q143">
        <v>234.48</v>
      </c>
      <c r="R143">
        <v>3818.52</v>
      </c>
    </row>
    <row r="144" spans="3:18" x14ac:dyDescent="0.2">
      <c r="K144" t="s">
        <v>5</v>
      </c>
      <c r="L144" t="s">
        <v>39</v>
      </c>
      <c r="M144" t="s">
        <v>24</v>
      </c>
      <c r="N144" s="39">
        <v>4018</v>
      </c>
      <c r="O144">
        <v>171</v>
      </c>
      <c r="P144">
        <v>4.97</v>
      </c>
      <c r="Q144">
        <v>849.87</v>
      </c>
      <c r="R144">
        <v>3168.13</v>
      </c>
    </row>
    <row r="145" spans="11:18" x14ac:dyDescent="0.2">
      <c r="K145" t="s">
        <v>40</v>
      </c>
      <c r="L145" t="s">
        <v>34</v>
      </c>
      <c r="M145" t="s">
        <v>19</v>
      </c>
      <c r="N145" s="39">
        <v>4018</v>
      </c>
      <c r="O145">
        <v>162</v>
      </c>
      <c r="P145">
        <v>7.64</v>
      </c>
      <c r="Q145">
        <v>1237.6799999999998</v>
      </c>
      <c r="R145">
        <v>2780.32</v>
      </c>
    </row>
    <row r="146" spans="11:18" x14ac:dyDescent="0.2">
      <c r="K146" t="s">
        <v>2</v>
      </c>
      <c r="L146" t="s">
        <v>39</v>
      </c>
      <c r="M146" t="s">
        <v>33</v>
      </c>
      <c r="N146" s="39">
        <v>4018</v>
      </c>
      <c r="O146">
        <v>126</v>
      </c>
      <c r="P146">
        <v>12.37</v>
      </c>
      <c r="Q146">
        <v>1558.62</v>
      </c>
      <c r="R146">
        <v>2459.38</v>
      </c>
    </row>
    <row r="147" spans="11:18" x14ac:dyDescent="0.2">
      <c r="K147" t="s">
        <v>3</v>
      </c>
      <c r="L147" t="s">
        <v>37</v>
      </c>
      <c r="M147" t="s">
        <v>17</v>
      </c>
      <c r="N147" s="39">
        <v>3983</v>
      </c>
      <c r="O147">
        <v>144</v>
      </c>
      <c r="P147">
        <v>3.11</v>
      </c>
      <c r="Q147">
        <v>447.84</v>
      </c>
      <c r="R147">
        <v>3535.16</v>
      </c>
    </row>
    <row r="148" spans="11:18" x14ac:dyDescent="0.2">
      <c r="K148" t="s">
        <v>41</v>
      </c>
      <c r="L148" t="s">
        <v>39</v>
      </c>
      <c r="M148" t="s">
        <v>14</v>
      </c>
      <c r="N148" s="39">
        <v>3976</v>
      </c>
      <c r="O148">
        <v>72</v>
      </c>
      <c r="P148">
        <v>11.7</v>
      </c>
      <c r="Q148">
        <v>842.4</v>
      </c>
      <c r="R148">
        <v>3133.6</v>
      </c>
    </row>
    <row r="149" spans="11:18" x14ac:dyDescent="0.2">
      <c r="K149" t="s">
        <v>9</v>
      </c>
      <c r="L149" t="s">
        <v>39</v>
      </c>
      <c r="M149" t="s">
        <v>24</v>
      </c>
      <c r="N149" s="39">
        <v>3920</v>
      </c>
      <c r="O149">
        <v>306</v>
      </c>
      <c r="P149">
        <v>4.97</v>
      </c>
      <c r="Q149">
        <v>1520.82</v>
      </c>
      <c r="R149">
        <v>2399.1800000000003</v>
      </c>
    </row>
    <row r="150" spans="11:18" x14ac:dyDescent="0.2">
      <c r="K150" t="s">
        <v>6</v>
      </c>
      <c r="L150" t="s">
        <v>35</v>
      </c>
      <c r="M150" t="s">
        <v>27</v>
      </c>
      <c r="N150" s="39">
        <v>3864</v>
      </c>
      <c r="O150">
        <v>177</v>
      </c>
      <c r="P150">
        <v>16.73</v>
      </c>
      <c r="Q150">
        <v>2961.21</v>
      </c>
      <c r="R150">
        <v>902.79</v>
      </c>
    </row>
    <row r="151" spans="11:18" x14ac:dyDescent="0.2">
      <c r="K151" t="s">
        <v>9</v>
      </c>
      <c r="L151" t="s">
        <v>38</v>
      </c>
      <c r="M151" t="s">
        <v>25</v>
      </c>
      <c r="N151" s="39">
        <v>3850</v>
      </c>
      <c r="O151">
        <v>102</v>
      </c>
      <c r="P151">
        <v>13.15</v>
      </c>
      <c r="Q151">
        <v>1341.3</v>
      </c>
      <c r="R151">
        <v>2508.6999999999998</v>
      </c>
    </row>
    <row r="152" spans="11:18" x14ac:dyDescent="0.2">
      <c r="K152" t="s">
        <v>7</v>
      </c>
      <c r="L152" t="s">
        <v>34</v>
      </c>
      <c r="M152" t="s">
        <v>15</v>
      </c>
      <c r="N152" s="39">
        <v>3829</v>
      </c>
      <c r="O152">
        <v>24</v>
      </c>
      <c r="P152">
        <v>11.73</v>
      </c>
      <c r="Q152">
        <v>281.52</v>
      </c>
      <c r="R152">
        <v>3547.48</v>
      </c>
    </row>
    <row r="153" spans="11:18" x14ac:dyDescent="0.2">
      <c r="K153" t="s">
        <v>10</v>
      </c>
      <c r="L153" t="s">
        <v>35</v>
      </c>
      <c r="M153" t="s">
        <v>18</v>
      </c>
      <c r="N153" s="39">
        <v>3808</v>
      </c>
      <c r="O153">
        <v>279</v>
      </c>
      <c r="P153">
        <v>6.47</v>
      </c>
      <c r="Q153">
        <v>1805.1299999999999</v>
      </c>
      <c r="R153">
        <v>2002.8700000000001</v>
      </c>
    </row>
    <row r="154" spans="11:18" x14ac:dyDescent="0.2">
      <c r="K154" t="s">
        <v>40</v>
      </c>
      <c r="L154" t="s">
        <v>34</v>
      </c>
      <c r="M154" t="s">
        <v>33</v>
      </c>
      <c r="N154" s="39">
        <v>3794</v>
      </c>
      <c r="O154">
        <v>159</v>
      </c>
      <c r="P154">
        <v>12.37</v>
      </c>
      <c r="Q154">
        <v>1966.83</v>
      </c>
      <c r="R154">
        <v>1827.17</v>
      </c>
    </row>
    <row r="155" spans="11:18" x14ac:dyDescent="0.2">
      <c r="K155" t="s">
        <v>3</v>
      </c>
      <c r="L155" t="s">
        <v>36</v>
      </c>
      <c r="M155" t="s">
        <v>23</v>
      </c>
      <c r="N155" s="39">
        <v>3773</v>
      </c>
      <c r="O155">
        <v>165</v>
      </c>
      <c r="P155">
        <v>6.49</v>
      </c>
      <c r="Q155">
        <v>1070.8500000000001</v>
      </c>
      <c r="R155">
        <v>2702.1499999999996</v>
      </c>
    </row>
    <row r="156" spans="11:18" x14ac:dyDescent="0.2">
      <c r="K156" t="s">
        <v>6</v>
      </c>
      <c r="L156" t="s">
        <v>34</v>
      </c>
      <c r="M156" t="s">
        <v>17</v>
      </c>
      <c r="N156" s="39">
        <v>3759</v>
      </c>
      <c r="O156">
        <v>150</v>
      </c>
      <c r="P156">
        <v>3.11</v>
      </c>
      <c r="Q156">
        <v>466.5</v>
      </c>
      <c r="R156">
        <v>3292.5</v>
      </c>
    </row>
    <row r="157" spans="11:18" x14ac:dyDescent="0.2">
      <c r="K157" t="s">
        <v>8</v>
      </c>
      <c r="L157" t="s">
        <v>38</v>
      </c>
      <c r="M157" t="s">
        <v>32</v>
      </c>
      <c r="N157" s="39">
        <v>3752</v>
      </c>
      <c r="O157">
        <v>213</v>
      </c>
      <c r="P157">
        <v>8.65</v>
      </c>
      <c r="Q157">
        <v>1842.45</v>
      </c>
      <c r="R157">
        <v>1909.55</v>
      </c>
    </row>
    <row r="158" spans="11:18" x14ac:dyDescent="0.2">
      <c r="K158" t="s">
        <v>3</v>
      </c>
      <c r="L158" t="s">
        <v>34</v>
      </c>
      <c r="M158" t="s">
        <v>28</v>
      </c>
      <c r="N158" s="39">
        <v>3689</v>
      </c>
      <c r="O158">
        <v>312</v>
      </c>
      <c r="P158">
        <v>10.38</v>
      </c>
      <c r="Q158">
        <v>3238.5600000000004</v>
      </c>
      <c r="R158">
        <v>450.4399999999996</v>
      </c>
    </row>
    <row r="159" spans="11:18" x14ac:dyDescent="0.2">
      <c r="K159" t="s">
        <v>3</v>
      </c>
      <c r="L159" t="s">
        <v>39</v>
      </c>
      <c r="M159" t="s">
        <v>29</v>
      </c>
      <c r="N159" s="39">
        <v>3640</v>
      </c>
      <c r="O159">
        <v>51</v>
      </c>
      <c r="P159">
        <v>7.16</v>
      </c>
      <c r="Q159">
        <v>365.16</v>
      </c>
      <c r="R159">
        <v>3274.84</v>
      </c>
    </row>
    <row r="160" spans="11:18" x14ac:dyDescent="0.2">
      <c r="K160" t="s">
        <v>8</v>
      </c>
      <c r="L160" t="s">
        <v>35</v>
      </c>
      <c r="M160" t="s">
        <v>30</v>
      </c>
      <c r="N160" s="39">
        <v>3598</v>
      </c>
      <c r="O160">
        <v>81</v>
      </c>
      <c r="P160">
        <v>14.49</v>
      </c>
      <c r="Q160">
        <v>1173.69</v>
      </c>
      <c r="R160">
        <v>2424.31</v>
      </c>
    </row>
    <row r="161" spans="11:18" x14ac:dyDescent="0.2">
      <c r="K161" t="s">
        <v>6</v>
      </c>
      <c r="L161" t="s">
        <v>37</v>
      </c>
      <c r="M161" t="s">
        <v>28</v>
      </c>
      <c r="N161" s="39">
        <v>3556</v>
      </c>
      <c r="O161">
        <v>459</v>
      </c>
      <c r="P161">
        <v>10.38</v>
      </c>
      <c r="Q161">
        <v>4764.42</v>
      </c>
      <c r="R161">
        <v>-1208.42</v>
      </c>
    </row>
    <row r="162" spans="11:18" x14ac:dyDescent="0.2">
      <c r="K162" t="s">
        <v>2</v>
      </c>
      <c r="L162" t="s">
        <v>38</v>
      </c>
      <c r="M162" t="s">
        <v>4</v>
      </c>
      <c r="N162" s="39">
        <v>3549</v>
      </c>
      <c r="O162">
        <v>3</v>
      </c>
      <c r="P162">
        <v>11.88</v>
      </c>
      <c r="Q162">
        <v>35.64</v>
      </c>
      <c r="R162">
        <v>3513.36</v>
      </c>
    </row>
    <row r="163" spans="11:18" x14ac:dyDescent="0.2">
      <c r="K163" t="s">
        <v>8</v>
      </c>
      <c r="L163" t="s">
        <v>34</v>
      </c>
      <c r="M163" t="s">
        <v>31</v>
      </c>
      <c r="N163" s="39">
        <v>3507</v>
      </c>
      <c r="O163">
        <v>288</v>
      </c>
      <c r="P163">
        <v>5.79</v>
      </c>
      <c r="Q163">
        <v>1667.52</v>
      </c>
      <c r="R163">
        <v>1839.48</v>
      </c>
    </row>
    <row r="164" spans="11:18" x14ac:dyDescent="0.2">
      <c r="K164" t="s">
        <v>10</v>
      </c>
      <c r="L164" t="s">
        <v>35</v>
      </c>
      <c r="M164" t="s">
        <v>14</v>
      </c>
      <c r="N164" s="39">
        <v>3472</v>
      </c>
      <c r="O164">
        <v>96</v>
      </c>
      <c r="P164">
        <v>11.7</v>
      </c>
      <c r="Q164">
        <v>1123.1999999999998</v>
      </c>
      <c r="R164">
        <v>2348.8000000000002</v>
      </c>
    </row>
    <row r="165" spans="11:18" x14ac:dyDescent="0.2">
      <c r="K165" t="s">
        <v>6</v>
      </c>
      <c r="L165" t="s">
        <v>34</v>
      </c>
      <c r="M165" t="s">
        <v>30</v>
      </c>
      <c r="N165" s="39">
        <v>3402</v>
      </c>
      <c r="O165">
        <v>366</v>
      </c>
      <c r="P165">
        <v>14.49</v>
      </c>
      <c r="Q165">
        <v>5303.34</v>
      </c>
      <c r="R165">
        <v>-1901.3400000000001</v>
      </c>
    </row>
    <row r="166" spans="11:18" x14ac:dyDescent="0.2">
      <c r="K166" t="s">
        <v>41</v>
      </c>
      <c r="L166" t="s">
        <v>37</v>
      </c>
      <c r="M166" t="s">
        <v>20</v>
      </c>
      <c r="N166" s="39">
        <v>3388</v>
      </c>
      <c r="O166">
        <v>123</v>
      </c>
      <c r="P166">
        <v>10.62</v>
      </c>
      <c r="Q166">
        <v>1306.26</v>
      </c>
      <c r="R166">
        <v>2081.7399999999998</v>
      </c>
    </row>
    <row r="167" spans="11:18" x14ac:dyDescent="0.2">
      <c r="K167" t="s">
        <v>5</v>
      </c>
      <c r="L167" t="s">
        <v>36</v>
      </c>
      <c r="M167" t="s">
        <v>17</v>
      </c>
      <c r="N167" s="39">
        <v>3339</v>
      </c>
      <c r="O167">
        <v>348</v>
      </c>
      <c r="P167">
        <v>3.11</v>
      </c>
      <c r="Q167">
        <v>1082.28</v>
      </c>
      <c r="R167">
        <v>2256.7200000000003</v>
      </c>
    </row>
    <row r="168" spans="11:18" x14ac:dyDescent="0.2">
      <c r="K168" t="s">
        <v>6</v>
      </c>
      <c r="L168" t="s">
        <v>34</v>
      </c>
      <c r="M168" t="s">
        <v>29</v>
      </c>
      <c r="N168" s="39">
        <v>3339</v>
      </c>
      <c r="O168">
        <v>75</v>
      </c>
      <c r="P168">
        <v>7.16</v>
      </c>
      <c r="Q168">
        <v>537</v>
      </c>
      <c r="R168">
        <v>2802</v>
      </c>
    </row>
    <row r="169" spans="11:18" x14ac:dyDescent="0.2">
      <c r="K169" t="s">
        <v>3</v>
      </c>
      <c r="L169" t="s">
        <v>36</v>
      </c>
      <c r="M169" t="s">
        <v>25</v>
      </c>
      <c r="N169" s="39">
        <v>3339</v>
      </c>
      <c r="O169">
        <v>39</v>
      </c>
      <c r="P169">
        <v>13.15</v>
      </c>
      <c r="Q169">
        <v>512.85</v>
      </c>
      <c r="R169">
        <v>2826.15</v>
      </c>
    </row>
    <row r="170" spans="11:18" x14ac:dyDescent="0.2">
      <c r="K170" t="s">
        <v>7</v>
      </c>
      <c r="L170" t="s">
        <v>34</v>
      </c>
      <c r="M170" t="s">
        <v>32</v>
      </c>
      <c r="N170" s="39">
        <v>3262</v>
      </c>
      <c r="O170">
        <v>75</v>
      </c>
      <c r="P170">
        <v>8.65</v>
      </c>
      <c r="Q170">
        <v>648.75</v>
      </c>
      <c r="R170">
        <v>2613.25</v>
      </c>
    </row>
    <row r="171" spans="11:18" x14ac:dyDescent="0.2">
      <c r="K171" t="s">
        <v>9</v>
      </c>
      <c r="L171" t="s">
        <v>39</v>
      </c>
      <c r="M171" t="s">
        <v>25</v>
      </c>
      <c r="N171" s="39">
        <v>3192</v>
      </c>
      <c r="O171">
        <v>72</v>
      </c>
      <c r="P171">
        <v>13.15</v>
      </c>
      <c r="Q171">
        <v>946.80000000000007</v>
      </c>
      <c r="R171">
        <v>2245.1999999999998</v>
      </c>
    </row>
    <row r="172" spans="11:18" x14ac:dyDescent="0.2">
      <c r="K172" t="s">
        <v>40</v>
      </c>
      <c r="L172" t="s">
        <v>36</v>
      </c>
      <c r="M172" t="s">
        <v>27</v>
      </c>
      <c r="N172" s="39">
        <v>3164</v>
      </c>
      <c r="O172">
        <v>306</v>
      </c>
      <c r="P172">
        <v>16.73</v>
      </c>
      <c r="Q172">
        <v>5119.38</v>
      </c>
      <c r="R172">
        <v>-1955.38</v>
      </c>
    </row>
    <row r="173" spans="11:18" x14ac:dyDescent="0.2">
      <c r="K173" t="s">
        <v>3</v>
      </c>
      <c r="L173" t="s">
        <v>34</v>
      </c>
      <c r="M173" t="s">
        <v>26</v>
      </c>
      <c r="N173" s="39">
        <v>3108</v>
      </c>
      <c r="O173">
        <v>54</v>
      </c>
      <c r="P173">
        <v>5.6</v>
      </c>
      <c r="Q173">
        <v>302.39999999999998</v>
      </c>
      <c r="R173">
        <v>2805.6</v>
      </c>
    </row>
    <row r="174" spans="11:18" x14ac:dyDescent="0.2">
      <c r="K174" t="s">
        <v>40</v>
      </c>
      <c r="L174" t="s">
        <v>39</v>
      </c>
      <c r="M174" t="s">
        <v>28</v>
      </c>
      <c r="N174" s="39">
        <v>3101</v>
      </c>
      <c r="O174">
        <v>225</v>
      </c>
      <c r="P174">
        <v>10.38</v>
      </c>
      <c r="Q174">
        <v>2335.5</v>
      </c>
      <c r="R174">
        <v>765.5</v>
      </c>
    </row>
    <row r="175" spans="11:18" x14ac:dyDescent="0.2">
      <c r="K175" t="s">
        <v>2</v>
      </c>
      <c r="L175" t="s">
        <v>36</v>
      </c>
      <c r="M175" t="s">
        <v>31</v>
      </c>
      <c r="N175" s="39">
        <v>3094</v>
      </c>
      <c r="O175">
        <v>246</v>
      </c>
      <c r="P175">
        <v>5.79</v>
      </c>
      <c r="Q175">
        <v>1424.34</v>
      </c>
      <c r="R175">
        <v>1669.66</v>
      </c>
    </row>
    <row r="176" spans="11:18" x14ac:dyDescent="0.2">
      <c r="K176" t="s">
        <v>10</v>
      </c>
      <c r="L176" t="s">
        <v>37</v>
      </c>
      <c r="M176" t="s">
        <v>28</v>
      </c>
      <c r="N176" s="39">
        <v>3059</v>
      </c>
      <c r="O176">
        <v>27</v>
      </c>
      <c r="P176">
        <v>10.38</v>
      </c>
      <c r="Q176">
        <v>280.26000000000005</v>
      </c>
      <c r="R176">
        <v>2778.74</v>
      </c>
    </row>
    <row r="177" spans="11:18" x14ac:dyDescent="0.2">
      <c r="K177" t="s">
        <v>6</v>
      </c>
      <c r="L177" t="s">
        <v>39</v>
      </c>
      <c r="M177" t="s">
        <v>29</v>
      </c>
      <c r="N177" s="39">
        <v>3052</v>
      </c>
      <c r="O177">
        <v>378</v>
      </c>
      <c r="P177">
        <v>7.16</v>
      </c>
      <c r="Q177">
        <v>2706.48</v>
      </c>
      <c r="R177">
        <v>345.52</v>
      </c>
    </row>
    <row r="178" spans="11:18" x14ac:dyDescent="0.2">
      <c r="K178" t="s">
        <v>6</v>
      </c>
      <c r="L178" t="s">
        <v>39</v>
      </c>
      <c r="M178" t="s">
        <v>24</v>
      </c>
      <c r="N178" s="39">
        <v>2989</v>
      </c>
      <c r="O178">
        <v>3</v>
      </c>
      <c r="P178">
        <v>4.97</v>
      </c>
      <c r="Q178">
        <v>14.91</v>
      </c>
      <c r="R178">
        <v>2974.09</v>
      </c>
    </row>
    <row r="179" spans="11:18" x14ac:dyDescent="0.2">
      <c r="K179" t="s">
        <v>9</v>
      </c>
      <c r="L179" t="s">
        <v>36</v>
      </c>
      <c r="M179" t="s">
        <v>32</v>
      </c>
      <c r="N179" s="39">
        <v>2954</v>
      </c>
      <c r="O179">
        <v>189</v>
      </c>
      <c r="P179">
        <v>8.65</v>
      </c>
      <c r="Q179">
        <v>1634.8500000000001</v>
      </c>
      <c r="R179">
        <v>1319.1499999999999</v>
      </c>
    </row>
    <row r="180" spans="11:18" x14ac:dyDescent="0.2">
      <c r="K180" t="s">
        <v>41</v>
      </c>
      <c r="L180" t="s">
        <v>37</v>
      </c>
      <c r="M180" t="s">
        <v>21</v>
      </c>
      <c r="N180" s="39">
        <v>2933</v>
      </c>
      <c r="O180">
        <v>9</v>
      </c>
      <c r="P180">
        <v>9</v>
      </c>
      <c r="Q180">
        <v>81</v>
      </c>
      <c r="R180">
        <v>2852</v>
      </c>
    </row>
    <row r="181" spans="11:18" x14ac:dyDescent="0.2">
      <c r="K181" t="s">
        <v>3</v>
      </c>
      <c r="L181" t="s">
        <v>34</v>
      </c>
      <c r="M181" t="s">
        <v>17</v>
      </c>
      <c r="N181" s="39">
        <v>2919</v>
      </c>
      <c r="O181">
        <v>93</v>
      </c>
      <c r="P181">
        <v>3.11</v>
      </c>
      <c r="Q181">
        <v>289.22999999999996</v>
      </c>
      <c r="R181">
        <v>2629.77</v>
      </c>
    </row>
    <row r="182" spans="11:18" x14ac:dyDescent="0.2">
      <c r="K182" t="s">
        <v>9</v>
      </c>
      <c r="L182" t="s">
        <v>37</v>
      </c>
      <c r="M182" t="s">
        <v>28</v>
      </c>
      <c r="N182" s="39">
        <v>2919</v>
      </c>
      <c r="O182">
        <v>45</v>
      </c>
      <c r="P182">
        <v>10.38</v>
      </c>
      <c r="Q182">
        <v>467.1</v>
      </c>
      <c r="R182">
        <v>2451.9</v>
      </c>
    </row>
    <row r="183" spans="11:18" x14ac:dyDescent="0.2">
      <c r="K183" t="s">
        <v>5</v>
      </c>
      <c r="L183" t="s">
        <v>34</v>
      </c>
      <c r="M183" t="s">
        <v>29</v>
      </c>
      <c r="N183" s="39">
        <v>2891</v>
      </c>
      <c r="O183">
        <v>102</v>
      </c>
      <c r="P183">
        <v>7.16</v>
      </c>
      <c r="Q183">
        <v>730.32</v>
      </c>
      <c r="R183">
        <v>2160.6799999999998</v>
      </c>
    </row>
    <row r="184" spans="11:18" x14ac:dyDescent="0.2">
      <c r="K184" t="s">
        <v>7</v>
      </c>
      <c r="L184" t="s">
        <v>36</v>
      </c>
      <c r="M184" t="s">
        <v>19</v>
      </c>
      <c r="N184" s="39">
        <v>2870</v>
      </c>
      <c r="O184">
        <v>300</v>
      </c>
      <c r="P184">
        <v>7.64</v>
      </c>
      <c r="Q184">
        <v>2292</v>
      </c>
      <c r="R184">
        <v>578</v>
      </c>
    </row>
    <row r="185" spans="11:18" x14ac:dyDescent="0.2">
      <c r="K185" t="s">
        <v>2</v>
      </c>
      <c r="L185" t="s">
        <v>37</v>
      </c>
      <c r="M185" t="s">
        <v>15</v>
      </c>
      <c r="N185" s="39">
        <v>2863</v>
      </c>
      <c r="O185">
        <v>42</v>
      </c>
      <c r="P185">
        <v>11.73</v>
      </c>
      <c r="Q185">
        <v>492.66</v>
      </c>
      <c r="R185">
        <v>2370.34</v>
      </c>
    </row>
    <row r="186" spans="11:18" x14ac:dyDescent="0.2">
      <c r="K186" t="s">
        <v>9</v>
      </c>
      <c r="L186" t="s">
        <v>37</v>
      </c>
      <c r="M186" t="s">
        <v>26</v>
      </c>
      <c r="N186" s="39">
        <v>2856</v>
      </c>
      <c r="O186">
        <v>246</v>
      </c>
      <c r="P186">
        <v>5.6</v>
      </c>
      <c r="Q186">
        <v>1377.6</v>
      </c>
      <c r="R186">
        <v>1478.4</v>
      </c>
    </row>
    <row r="187" spans="11:18" x14ac:dyDescent="0.2">
      <c r="K187" t="s">
        <v>7</v>
      </c>
      <c r="L187" t="s">
        <v>35</v>
      </c>
      <c r="M187" t="s">
        <v>24</v>
      </c>
      <c r="N187" s="39">
        <v>2793</v>
      </c>
      <c r="O187">
        <v>114</v>
      </c>
      <c r="P187">
        <v>4.97</v>
      </c>
      <c r="Q187">
        <v>566.57999999999993</v>
      </c>
      <c r="R187">
        <v>2226.42</v>
      </c>
    </row>
    <row r="188" spans="11:18" x14ac:dyDescent="0.2">
      <c r="K188" t="s">
        <v>40</v>
      </c>
      <c r="L188" t="s">
        <v>34</v>
      </c>
      <c r="M188" t="s">
        <v>23</v>
      </c>
      <c r="N188" s="39">
        <v>2779</v>
      </c>
      <c r="O188">
        <v>75</v>
      </c>
      <c r="P188">
        <v>6.49</v>
      </c>
      <c r="Q188">
        <v>486.75</v>
      </c>
      <c r="R188">
        <v>2292.25</v>
      </c>
    </row>
    <row r="189" spans="11:18" x14ac:dyDescent="0.2">
      <c r="K189" t="s">
        <v>5</v>
      </c>
      <c r="L189" t="s">
        <v>35</v>
      </c>
      <c r="M189" t="s">
        <v>4</v>
      </c>
      <c r="N189" s="39">
        <v>2744</v>
      </c>
      <c r="O189">
        <v>9</v>
      </c>
      <c r="P189">
        <v>11.88</v>
      </c>
      <c r="Q189">
        <v>106.92</v>
      </c>
      <c r="R189">
        <v>2637.08</v>
      </c>
    </row>
    <row r="190" spans="11:18" x14ac:dyDescent="0.2">
      <c r="K190" t="s">
        <v>9</v>
      </c>
      <c r="L190" t="s">
        <v>37</v>
      </c>
      <c r="M190" t="s">
        <v>23</v>
      </c>
      <c r="N190" s="39">
        <v>2737</v>
      </c>
      <c r="O190">
        <v>93</v>
      </c>
      <c r="P190">
        <v>6.49</v>
      </c>
      <c r="Q190">
        <v>603.57000000000005</v>
      </c>
      <c r="R190">
        <v>2133.4299999999998</v>
      </c>
    </row>
    <row r="191" spans="11:18" x14ac:dyDescent="0.2">
      <c r="K191" t="s">
        <v>8</v>
      </c>
      <c r="L191" t="s">
        <v>35</v>
      </c>
      <c r="M191" t="s">
        <v>20</v>
      </c>
      <c r="N191" s="39">
        <v>2702</v>
      </c>
      <c r="O191">
        <v>363</v>
      </c>
      <c r="P191">
        <v>10.62</v>
      </c>
      <c r="Q191">
        <v>3855.0599999999995</v>
      </c>
      <c r="R191">
        <v>-1153.0599999999995</v>
      </c>
    </row>
    <row r="192" spans="11:18" x14ac:dyDescent="0.2">
      <c r="K192" t="s">
        <v>6</v>
      </c>
      <c r="L192" t="s">
        <v>38</v>
      </c>
      <c r="M192" t="s">
        <v>31</v>
      </c>
      <c r="N192" s="39">
        <v>2681</v>
      </c>
      <c r="O192">
        <v>54</v>
      </c>
      <c r="P192">
        <v>5.79</v>
      </c>
      <c r="Q192">
        <v>312.66000000000003</v>
      </c>
      <c r="R192">
        <v>2368.34</v>
      </c>
    </row>
    <row r="193" spans="11:18" x14ac:dyDescent="0.2">
      <c r="K193" t="s">
        <v>7</v>
      </c>
      <c r="L193" t="s">
        <v>36</v>
      </c>
      <c r="M193" t="s">
        <v>18</v>
      </c>
      <c r="N193" s="39">
        <v>2646</v>
      </c>
      <c r="O193">
        <v>177</v>
      </c>
      <c r="P193">
        <v>6.47</v>
      </c>
      <c r="Q193">
        <v>1145.19</v>
      </c>
      <c r="R193">
        <v>1500.81</v>
      </c>
    </row>
    <row r="194" spans="11:18" x14ac:dyDescent="0.2">
      <c r="K194" t="s">
        <v>9</v>
      </c>
      <c r="L194" t="s">
        <v>38</v>
      </c>
      <c r="M194" t="s">
        <v>16</v>
      </c>
      <c r="N194" s="39">
        <v>2646</v>
      </c>
      <c r="O194">
        <v>120</v>
      </c>
      <c r="P194">
        <v>8.7899999999999991</v>
      </c>
      <c r="Q194">
        <v>1054.8</v>
      </c>
      <c r="R194">
        <v>1591.2</v>
      </c>
    </row>
    <row r="195" spans="11:18" x14ac:dyDescent="0.2">
      <c r="K195" t="s">
        <v>9</v>
      </c>
      <c r="L195" t="s">
        <v>39</v>
      </c>
      <c r="M195" t="s">
        <v>18</v>
      </c>
      <c r="N195" s="39">
        <v>2639</v>
      </c>
      <c r="O195">
        <v>204</v>
      </c>
      <c r="P195">
        <v>6.47</v>
      </c>
      <c r="Q195">
        <v>1319.8799999999999</v>
      </c>
      <c r="R195">
        <v>1319.1200000000001</v>
      </c>
    </row>
    <row r="196" spans="11:18" x14ac:dyDescent="0.2">
      <c r="K196" t="s">
        <v>3</v>
      </c>
      <c r="L196" t="s">
        <v>34</v>
      </c>
      <c r="M196" t="s">
        <v>20</v>
      </c>
      <c r="N196" s="39">
        <v>2583</v>
      </c>
      <c r="O196">
        <v>18</v>
      </c>
      <c r="P196">
        <v>10.62</v>
      </c>
      <c r="Q196">
        <v>191.16</v>
      </c>
      <c r="R196">
        <v>2391.84</v>
      </c>
    </row>
    <row r="197" spans="11:18" x14ac:dyDescent="0.2">
      <c r="K197" t="s">
        <v>10</v>
      </c>
      <c r="L197" t="s">
        <v>35</v>
      </c>
      <c r="M197" t="s">
        <v>15</v>
      </c>
      <c r="N197" s="39">
        <v>2562</v>
      </c>
      <c r="O197">
        <v>6</v>
      </c>
      <c r="P197">
        <v>11.73</v>
      </c>
      <c r="Q197">
        <v>70.38</v>
      </c>
      <c r="R197">
        <v>2491.62</v>
      </c>
    </row>
    <row r="198" spans="11:18" x14ac:dyDescent="0.2">
      <c r="K198" t="s">
        <v>40</v>
      </c>
      <c r="L198" t="s">
        <v>38</v>
      </c>
      <c r="M198" t="s">
        <v>25</v>
      </c>
      <c r="N198" s="39">
        <v>2541</v>
      </c>
      <c r="O198">
        <v>90</v>
      </c>
      <c r="P198">
        <v>13.15</v>
      </c>
      <c r="Q198">
        <v>1183.5</v>
      </c>
      <c r="R198">
        <v>1357.5</v>
      </c>
    </row>
    <row r="199" spans="11:18" x14ac:dyDescent="0.2">
      <c r="K199" t="s">
        <v>40</v>
      </c>
      <c r="L199" t="s">
        <v>38</v>
      </c>
      <c r="M199" t="s">
        <v>29</v>
      </c>
      <c r="N199" s="39">
        <v>2541</v>
      </c>
      <c r="O199">
        <v>45</v>
      </c>
      <c r="P199">
        <v>7.16</v>
      </c>
      <c r="Q199">
        <v>322.2</v>
      </c>
      <c r="R199">
        <v>2218.8000000000002</v>
      </c>
    </row>
    <row r="200" spans="11:18" x14ac:dyDescent="0.2">
      <c r="K200" t="s">
        <v>7</v>
      </c>
      <c r="L200" t="s">
        <v>35</v>
      </c>
      <c r="M200" t="s">
        <v>27</v>
      </c>
      <c r="N200" s="39">
        <v>2478</v>
      </c>
      <c r="O200">
        <v>21</v>
      </c>
      <c r="P200">
        <v>16.73</v>
      </c>
      <c r="Q200">
        <v>351.33</v>
      </c>
      <c r="R200">
        <v>2126.67</v>
      </c>
    </row>
    <row r="201" spans="11:18" x14ac:dyDescent="0.2">
      <c r="K201" t="s">
        <v>10</v>
      </c>
      <c r="L201" t="s">
        <v>36</v>
      </c>
      <c r="M201" t="s">
        <v>29</v>
      </c>
      <c r="N201" s="39">
        <v>2471</v>
      </c>
      <c r="O201">
        <v>342</v>
      </c>
      <c r="P201">
        <v>7.16</v>
      </c>
      <c r="Q201">
        <v>2448.7200000000003</v>
      </c>
      <c r="R201">
        <v>22.279999999999745</v>
      </c>
    </row>
    <row r="202" spans="11:18" x14ac:dyDescent="0.2">
      <c r="K202" t="s">
        <v>3</v>
      </c>
      <c r="L202" t="s">
        <v>35</v>
      </c>
      <c r="M202" t="s">
        <v>25</v>
      </c>
      <c r="N202" s="39">
        <v>2464</v>
      </c>
      <c r="O202">
        <v>234</v>
      </c>
      <c r="P202">
        <v>13.15</v>
      </c>
      <c r="Q202">
        <v>3077.1</v>
      </c>
      <c r="R202">
        <v>-613.09999999999991</v>
      </c>
    </row>
    <row r="203" spans="11:18" x14ac:dyDescent="0.2">
      <c r="K203" t="s">
        <v>9</v>
      </c>
      <c r="L203" t="s">
        <v>38</v>
      </c>
      <c r="M203" t="s">
        <v>26</v>
      </c>
      <c r="N203" s="39">
        <v>2436</v>
      </c>
      <c r="O203">
        <v>99</v>
      </c>
      <c r="P203">
        <v>5.6</v>
      </c>
      <c r="Q203">
        <v>554.4</v>
      </c>
      <c r="R203">
        <v>1881.6</v>
      </c>
    </row>
    <row r="204" spans="11:18" x14ac:dyDescent="0.2">
      <c r="K204" t="s">
        <v>9</v>
      </c>
      <c r="L204" t="s">
        <v>35</v>
      </c>
      <c r="M204" t="s">
        <v>27</v>
      </c>
      <c r="N204" s="39">
        <v>2429</v>
      </c>
      <c r="O204">
        <v>144</v>
      </c>
      <c r="P204">
        <v>16.73</v>
      </c>
      <c r="Q204">
        <v>2409.12</v>
      </c>
      <c r="R204">
        <v>19.880000000000109</v>
      </c>
    </row>
    <row r="205" spans="11:18" x14ac:dyDescent="0.2">
      <c r="K205" t="s">
        <v>3</v>
      </c>
      <c r="L205" t="s">
        <v>35</v>
      </c>
      <c r="M205" t="s">
        <v>14</v>
      </c>
      <c r="N205" s="39">
        <v>2415</v>
      </c>
      <c r="O205">
        <v>255</v>
      </c>
      <c r="P205">
        <v>11.7</v>
      </c>
      <c r="Q205">
        <v>2983.5</v>
      </c>
      <c r="R205">
        <v>-568.5</v>
      </c>
    </row>
    <row r="206" spans="11:18" x14ac:dyDescent="0.2">
      <c r="K206" t="s">
        <v>5</v>
      </c>
      <c r="L206" t="s">
        <v>35</v>
      </c>
      <c r="M206" t="s">
        <v>18</v>
      </c>
      <c r="N206" s="39">
        <v>2415</v>
      </c>
      <c r="O206">
        <v>15</v>
      </c>
      <c r="P206">
        <v>6.47</v>
      </c>
      <c r="Q206">
        <v>97.05</v>
      </c>
      <c r="R206">
        <v>2317.9499999999998</v>
      </c>
    </row>
    <row r="207" spans="11:18" x14ac:dyDescent="0.2">
      <c r="K207" t="s">
        <v>9</v>
      </c>
      <c r="L207" t="s">
        <v>38</v>
      </c>
      <c r="M207" t="s">
        <v>17</v>
      </c>
      <c r="N207" s="39">
        <v>2408</v>
      </c>
      <c r="O207">
        <v>9</v>
      </c>
      <c r="P207">
        <v>3.11</v>
      </c>
      <c r="Q207">
        <v>27.99</v>
      </c>
      <c r="R207">
        <v>2380.0100000000002</v>
      </c>
    </row>
    <row r="208" spans="11:18" x14ac:dyDescent="0.2">
      <c r="K208" t="s">
        <v>41</v>
      </c>
      <c r="L208" t="s">
        <v>37</v>
      </c>
      <c r="M208" t="s">
        <v>26</v>
      </c>
      <c r="N208" s="39">
        <v>2324</v>
      </c>
      <c r="O208">
        <v>177</v>
      </c>
      <c r="P208">
        <v>5.6</v>
      </c>
      <c r="Q208">
        <v>991.19999999999993</v>
      </c>
      <c r="R208">
        <v>1332.8000000000002</v>
      </c>
    </row>
    <row r="209" spans="11:18" x14ac:dyDescent="0.2">
      <c r="K209" t="s">
        <v>10</v>
      </c>
      <c r="L209" t="s">
        <v>36</v>
      </c>
      <c r="M209" t="s">
        <v>23</v>
      </c>
      <c r="N209" s="39">
        <v>2317</v>
      </c>
      <c r="O209">
        <v>261</v>
      </c>
      <c r="P209">
        <v>6.49</v>
      </c>
      <c r="Q209">
        <v>1693.89</v>
      </c>
      <c r="R209">
        <v>623.1099999999999</v>
      </c>
    </row>
    <row r="210" spans="11:18" x14ac:dyDescent="0.2">
      <c r="K210" t="s">
        <v>6</v>
      </c>
      <c r="L210" t="s">
        <v>38</v>
      </c>
      <c r="M210" t="s">
        <v>13</v>
      </c>
      <c r="N210" s="39">
        <v>2317</v>
      </c>
      <c r="O210">
        <v>123</v>
      </c>
      <c r="P210">
        <v>9.33</v>
      </c>
      <c r="Q210">
        <v>1147.5899999999999</v>
      </c>
      <c r="R210">
        <v>1169.4100000000001</v>
      </c>
    </row>
    <row r="211" spans="11:18" x14ac:dyDescent="0.2">
      <c r="K211" t="s">
        <v>40</v>
      </c>
      <c r="L211" t="s">
        <v>34</v>
      </c>
      <c r="M211" t="s">
        <v>27</v>
      </c>
      <c r="N211" s="39">
        <v>2289</v>
      </c>
      <c r="O211">
        <v>135</v>
      </c>
      <c r="P211">
        <v>16.73</v>
      </c>
      <c r="Q211">
        <v>2258.5500000000002</v>
      </c>
      <c r="R211">
        <v>30.449999999999818</v>
      </c>
    </row>
    <row r="212" spans="11:18" x14ac:dyDescent="0.2">
      <c r="K212" t="s">
        <v>40</v>
      </c>
      <c r="L212" t="s">
        <v>35</v>
      </c>
      <c r="M212" t="s">
        <v>30</v>
      </c>
      <c r="N212" s="39">
        <v>2275</v>
      </c>
      <c r="O212">
        <v>447</v>
      </c>
      <c r="P212">
        <v>14.49</v>
      </c>
      <c r="Q212">
        <v>6477.03</v>
      </c>
      <c r="R212">
        <v>-4202.03</v>
      </c>
    </row>
    <row r="213" spans="11:18" x14ac:dyDescent="0.2">
      <c r="K213" t="s">
        <v>8</v>
      </c>
      <c r="L213" t="s">
        <v>38</v>
      </c>
      <c r="M213" t="s">
        <v>27</v>
      </c>
      <c r="N213" s="39">
        <v>2268</v>
      </c>
      <c r="O213">
        <v>63</v>
      </c>
      <c r="P213">
        <v>16.73</v>
      </c>
      <c r="Q213">
        <v>1053.99</v>
      </c>
      <c r="R213">
        <v>1214.01</v>
      </c>
    </row>
    <row r="214" spans="11:18" x14ac:dyDescent="0.2">
      <c r="K214" t="s">
        <v>7</v>
      </c>
      <c r="L214" t="s">
        <v>34</v>
      </c>
      <c r="M214" t="s">
        <v>33</v>
      </c>
      <c r="N214" s="39">
        <v>2226</v>
      </c>
      <c r="O214">
        <v>48</v>
      </c>
      <c r="P214">
        <v>12.37</v>
      </c>
      <c r="Q214">
        <v>593.76</v>
      </c>
      <c r="R214">
        <v>1632.24</v>
      </c>
    </row>
    <row r="215" spans="11:18" x14ac:dyDescent="0.2">
      <c r="K215" t="s">
        <v>6</v>
      </c>
      <c r="L215" t="s">
        <v>34</v>
      </c>
      <c r="M215" t="s">
        <v>16</v>
      </c>
      <c r="N215" s="39">
        <v>2219</v>
      </c>
      <c r="O215">
        <v>75</v>
      </c>
      <c r="P215">
        <v>8.7899999999999991</v>
      </c>
      <c r="Q215">
        <v>659.24999999999989</v>
      </c>
      <c r="R215">
        <v>1559.75</v>
      </c>
    </row>
    <row r="216" spans="11:18" x14ac:dyDescent="0.2">
      <c r="K216" t="s">
        <v>3</v>
      </c>
      <c r="L216" t="s">
        <v>34</v>
      </c>
      <c r="M216" t="s">
        <v>23</v>
      </c>
      <c r="N216" s="39">
        <v>2212</v>
      </c>
      <c r="O216">
        <v>117</v>
      </c>
      <c r="P216">
        <v>6.49</v>
      </c>
      <c r="Q216">
        <v>759.33</v>
      </c>
      <c r="R216">
        <v>1452.67</v>
      </c>
    </row>
    <row r="217" spans="11:18" x14ac:dyDescent="0.2">
      <c r="K217" t="s">
        <v>10</v>
      </c>
      <c r="L217" t="s">
        <v>38</v>
      </c>
      <c r="M217" t="s">
        <v>22</v>
      </c>
      <c r="N217" s="39">
        <v>2205</v>
      </c>
      <c r="O217">
        <v>141</v>
      </c>
      <c r="P217">
        <v>9.77</v>
      </c>
      <c r="Q217">
        <v>1377.57</v>
      </c>
      <c r="R217">
        <v>827.43000000000006</v>
      </c>
    </row>
    <row r="218" spans="11:18" x14ac:dyDescent="0.2">
      <c r="K218" t="s">
        <v>7</v>
      </c>
      <c r="L218" t="s">
        <v>34</v>
      </c>
      <c r="M218" t="s">
        <v>20</v>
      </c>
      <c r="N218" s="39">
        <v>2205</v>
      </c>
      <c r="O218">
        <v>138</v>
      </c>
      <c r="P218">
        <v>10.62</v>
      </c>
      <c r="Q218">
        <v>1465.56</v>
      </c>
      <c r="R218">
        <v>739.44</v>
      </c>
    </row>
    <row r="219" spans="11:18" x14ac:dyDescent="0.2">
      <c r="K219" t="s">
        <v>7</v>
      </c>
      <c r="L219" t="s">
        <v>36</v>
      </c>
      <c r="M219" t="s">
        <v>31</v>
      </c>
      <c r="N219" s="39">
        <v>2149</v>
      </c>
      <c r="O219">
        <v>117</v>
      </c>
      <c r="P219">
        <v>5.79</v>
      </c>
      <c r="Q219">
        <v>677.43</v>
      </c>
      <c r="R219">
        <v>1471.5700000000002</v>
      </c>
    </row>
    <row r="220" spans="11:18" x14ac:dyDescent="0.2">
      <c r="K220" t="s">
        <v>9</v>
      </c>
      <c r="L220" t="s">
        <v>36</v>
      </c>
      <c r="M220" t="s">
        <v>25</v>
      </c>
      <c r="N220" s="39">
        <v>2142</v>
      </c>
      <c r="O220">
        <v>114</v>
      </c>
      <c r="P220">
        <v>13.15</v>
      </c>
      <c r="Q220">
        <v>1499.1000000000001</v>
      </c>
      <c r="R220">
        <v>642.89999999999986</v>
      </c>
    </row>
    <row r="221" spans="11:18" x14ac:dyDescent="0.2">
      <c r="K221" t="s">
        <v>7</v>
      </c>
      <c r="L221" t="s">
        <v>35</v>
      </c>
      <c r="M221" t="s">
        <v>16</v>
      </c>
      <c r="N221" s="39">
        <v>2135</v>
      </c>
      <c r="O221">
        <v>27</v>
      </c>
      <c r="P221">
        <v>8.7899999999999991</v>
      </c>
      <c r="Q221">
        <v>237.32999999999998</v>
      </c>
      <c r="R221">
        <v>1897.67</v>
      </c>
    </row>
    <row r="222" spans="11:18" x14ac:dyDescent="0.2">
      <c r="K222" t="s">
        <v>41</v>
      </c>
      <c r="L222" t="s">
        <v>35</v>
      </c>
      <c r="M222" t="s">
        <v>15</v>
      </c>
      <c r="N222" s="39">
        <v>2114</v>
      </c>
      <c r="O222">
        <v>186</v>
      </c>
      <c r="P222">
        <v>11.73</v>
      </c>
      <c r="Q222">
        <v>2181.7800000000002</v>
      </c>
      <c r="R222">
        <v>-67.7800000000002</v>
      </c>
    </row>
    <row r="223" spans="11:18" x14ac:dyDescent="0.2">
      <c r="K223" t="s">
        <v>3</v>
      </c>
      <c r="L223" t="s">
        <v>35</v>
      </c>
      <c r="M223" t="s">
        <v>29</v>
      </c>
      <c r="N223" s="39">
        <v>2114</v>
      </c>
      <c r="O223">
        <v>66</v>
      </c>
      <c r="P223">
        <v>7.16</v>
      </c>
      <c r="Q223">
        <v>472.56</v>
      </c>
      <c r="R223">
        <v>1641.44</v>
      </c>
    </row>
    <row r="224" spans="11:18" x14ac:dyDescent="0.2">
      <c r="K224" t="s">
        <v>6</v>
      </c>
      <c r="L224" t="s">
        <v>39</v>
      </c>
      <c r="M224" t="s">
        <v>25</v>
      </c>
      <c r="N224" s="39">
        <v>2100</v>
      </c>
      <c r="O224">
        <v>414</v>
      </c>
      <c r="P224">
        <v>13.15</v>
      </c>
      <c r="Q224">
        <v>5444.1</v>
      </c>
      <c r="R224">
        <v>-3344.1000000000004</v>
      </c>
    </row>
    <row r="225" spans="11:18" x14ac:dyDescent="0.2">
      <c r="K225" t="s">
        <v>8</v>
      </c>
      <c r="L225" t="s">
        <v>35</v>
      </c>
      <c r="M225" t="s">
        <v>29</v>
      </c>
      <c r="N225" s="39">
        <v>2023</v>
      </c>
      <c r="O225">
        <v>168</v>
      </c>
      <c r="P225">
        <v>7.16</v>
      </c>
      <c r="Q225">
        <v>1202.8800000000001</v>
      </c>
      <c r="R225">
        <v>820.11999999999989</v>
      </c>
    </row>
    <row r="226" spans="11:18" x14ac:dyDescent="0.2">
      <c r="K226" t="s">
        <v>3</v>
      </c>
      <c r="L226" t="s">
        <v>35</v>
      </c>
      <c r="M226" t="s">
        <v>23</v>
      </c>
      <c r="N226" s="39">
        <v>2023</v>
      </c>
      <c r="O226">
        <v>78</v>
      </c>
      <c r="P226">
        <v>6.49</v>
      </c>
      <c r="Q226">
        <v>506.22</v>
      </c>
      <c r="R226">
        <v>1516.78</v>
      </c>
    </row>
    <row r="227" spans="11:18" x14ac:dyDescent="0.2">
      <c r="K227" t="s">
        <v>2</v>
      </c>
      <c r="L227" t="s">
        <v>39</v>
      </c>
      <c r="M227" t="s">
        <v>16</v>
      </c>
      <c r="N227" s="39">
        <v>2016</v>
      </c>
      <c r="O227">
        <v>117</v>
      </c>
      <c r="P227">
        <v>8.7899999999999991</v>
      </c>
      <c r="Q227">
        <v>1028.4299999999998</v>
      </c>
      <c r="R227">
        <v>987.57000000000016</v>
      </c>
    </row>
    <row r="228" spans="11:18" x14ac:dyDescent="0.2">
      <c r="K228" t="s">
        <v>8</v>
      </c>
      <c r="L228" t="s">
        <v>34</v>
      </c>
      <c r="M228" t="s">
        <v>16</v>
      </c>
      <c r="N228" s="39">
        <v>2009</v>
      </c>
      <c r="O228">
        <v>219</v>
      </c>
      <c r="P228">
        <v>8.7899999999999991</v>
      </c>
      <c r="Q228">
        <v>1925.0099999999998</v>
      </c>
      <c r="R228">
        <v>83.990000000000236</v>
      </c>
    </row>
    <row r="229" spans="11:18" x14ac:dyDescent="0.2">
      <c r="K229" t="s">
        <v>40</v>
      </c>
      <c r="L229" t="s">
        <v>38</v>
      </c>
      <c r="M229" t="s">
        <v>31</v>
      </c>
      <c r="N229" s="39">
        <v>1988</v>
      </c>
      <c r="O229">
        <v>39</v>
      </c>
      <c r="P229">
        <v>5.79</v>
      </c>
      <c r="Q229">
        <v>225.81</v>
      </c>
      <c r="R229">
        <v>1762.19</v>
      </c>
    </row>
    <row r="230" spans="11:18" x14ac:dyDescent="0.2">
      <c r="K230" t="s">
        <v>10</v>
      </c>
      <c r="L230" t="s">
        <v>35</v>
      </c>
      <c r="M230" t="s">
        <v>20</v>
      </c>
      <c r="N230" s="39">
        <v>1974</v>
      </c>
      <c r="O230">
        <v>195</v>
      </c>
      <c r="P230">
        <v>10.62</v>
      </c>
      <c r="Q230">
        <v>2070.8999999999996</v>
      </c>
      <c r="R230">
        <v>-96.899999999999636</v>
      </c>
    </row>
    <row r="231" spans="11:18" x14ac:dyDescent="0.2">
      <c r="K231" t="s">
        <v>7</v>
      </c>
      <c r="L231" t="s">
        <v>34</v>
      </c>
      <c r="M231" t="s">
        <v>14</v>
      </c>
      <c r="N231" s="39">
        <v>1932</v>
      </c>
      <c r="O231">
        <v>369</v>
      </c>
      <c r="P231">
        <v>11.7</v>
      </c>
      <c r="Q231">
        <v>4317.3</v>
      </c>
      <c r="R231">
        <v>-2385.3000000000002</v>
      </c>
    </row>
    <row r="232" spans="11:18" x14ac:dyDescent="0.2">
      <c r="K232" t="s">
        <v>41</v>
      </c>
      <c r="L232" t="s">
        <v>36</v>
      </c>
      <c r="M232" t="s">
        <v>19</v>
      </c>
      <c r="N232" s="39">
        <v>1925</v>
      </c>
      <c r="O232">
        <v>192</v>
      </c>
      <c r="P232">
        <v>7.64</v>
      </c>
      <c r="Q232">
        <v>1466.8799999999999</v>
      </c>
      <c r="R232">
        <v>458.12000000000012</v>
      </c>
    </row>
    <row r="233" spans="11:18" x14ac:dyDescent="0.2">
      <c r="K233" t="s">
        <v>6</v>
      </c>
      <c r="L233" t="s">
        <v>37</v>
      </c>
      <c r="M233" t="s">
        <v>16</v>
      </c>
      <c r="N233" s="39">
        <v>1904</v>
      </c>
      <c r="O233">
        <v>405</v>
      </c>
      <c r="P233">
        <v>8.7899999999999991</v>
      </c>
      <c r="Q233">
        <v>3559.95</v>
      </c>
      <c r="R233">
        <v>-1655.9499999999998</v>
      </c>
    </row>
    <row r="234" spans="11:18" x14ac:dyDescent="0.2">
      <c r="K234" t="s">
        <v>8</v>
      </c>
      <c r="L234" t="s">
        <v>37</v>
      </c>
      <c r="M234" t="s">
        <v>22</v>
      </c>
      <c r="N234" s="39">
        <v>1890</v>
      </c>
      <c r="O234">
        <v>195</v>
      </c>
      <c r="P234">
        <v>9.77</v>
      </c>
      <c r="Q234">
        <v>1905.1499999999999</v>
      </c>
      <c r="R234">
        <v>-15.149999999999864</v>
      </c>
    </row>
    <row r="235" spans="11:18" x14ac:dyDescent="0.2">
      <c r="K235" t="s">
        <v>2</v>
      </c>
      <c r="L235" t="s">
        <v>39</v>
      </c>
      <c r="M235" t="s">
        <v>25</v>
      </c>
      <c r="N235" s="39">
        <v>1785</v>
      </c>
      <c r="O235">
        <v>462</v>
      </c>
      <c r="P235">
        <v>13.15</v>
      </c>
      <c r="Q235">
        <v>6075.3</v>
      </c>
      <c r="R235">
        <v>-4290.3</v>
      </c>
    </row>
    <row r="236" spans="11:18" x14ac:dyDescent="0.2">
      <c r="K236" t="s">
        <v>7</v>
      </c>
      <c r="L236" t="s">
        <v>38</v>
      </c>
      <c r="M236" t="s">
        <v>18</v>
      </c>
      <c r="N236" s="39">
        <v>1778</v>
      </c>
      <c r="O236">
        <v>270</v>
      </c>
      <c r="P236">
        <v>6.47</v>
      </c>
      <c r="Q236">
        <v>1746.8999999999999</v>
      </c>
      <c r="R236">
        <v>31.100000000000136</v>
      </c>
    </row>
    <row r="237" spans="11:18" x14ac:dyDescent="0.2">
      <c r="K237" t="s">
        <v>8</v>
      </c>
      <c r="L237" t="s">
        <v>37</v>
      </c>
      <c r="M237" t="s">
        <v>19</v>
      </c>
      <c r="N237" s="39">
        <v>1771</v>
      </c>
      <c r="O237">
        <v>204</v>
      </c>
      <c r="P237">
        <v>7.64</v>
      </c>
      <c r="Q237">
        <v>1558.56</v>
      </c>
      <c r="R237">
        <v>212.44000000000005</v>
      </c>
    </row>
    <row r="238" spans="11:18" x14ac:dyDescent="0.2">
      <c r="K238" t="s">
        <v>8</v>
      </c>
      <c r="L238" t="s">
        <v>38</v>
      </c>
      <c r="M238" t="s">
        <v>23</v>
      </c>
      <c r="N238" s="39">
        <v>1701</v>
      </c>
      <c r="O238">
        <v>234</v>
      </c>
      <c r="P238">
        <v>6.49</v>
      </c>
      <c r="Q238">
        <v>1518.66</v>
      </c>
      <c r="R238">
        <v>182.33999999999992</v>
      </c>
    </row>
    <row r="239" spans="11:18" x14ac:dyDescent="0.2">
      <c r="K239" t="s">
        <v>3</v>
      </c>
      <c r="L239" t="s">
        <v>39</v>
      </c>
      <c r="M239" t="s">
        <v>28</v>
      </c>
      <c r="N239" s="39">
        <v>1652</v>
      </c>
      <c r="O239">
        <v>102</v>
      </c>
      <c r="P239">
        <v>10.38</v>
      </c>
      <c r="Q239">
        <v>1058.76</v>
      </c>
      <c r="R239">
        <v>593.24</v>
      </c>
    </row>
    <row r="240" spans="11:18" x14ac:dyDescent="0.2">
      <c r="K240" t="s">
        <v>5</v>
      </c>
      <c r="L240" t="s">
        <v>34</v>
      </c>
      <c r="M240" t="s">
        <v>33</v>
      </c>
      <c r="N240" s="39">
        <v>1652</v>
      </c>
      <c r="O240">
        <v>93</v>
      </c>
      <c r="P240">
        <v>12.37</v>
      </c>
      <c r="Q240">
        <v>1150.4099999999999</v>
      </c>
      <c r="R240">
        <v>501.59000000000015</v>
      </c>
    </row>
    <row r="241" spans="11:18" x14ac:dyDescent="0.2">
      <c r="K241" t="s">
        <v>6</v>
      </c>
      <c r="L241" t="s">
        <v>39</v>
      </c>
      <c r="M241" t="s">
        <v>30</v>
      </c>
      <c r="N241" s="39">
        <v>1638</v>
      </c>
      <c r="O241">
        <v>63</v>
      </c>
      <c r="P241">
        <v>14.49</v>
      </c>
      <c r="Q241">
        <v>912.87</v>
      </c>
      <c r="R241">
        <v>725.13</v>
      </c>
    </row>
    <row r="242" spans="11:18" x14ac:dyDescent="0.2">
      <c r="K242" t="s">
        <v>40</v>
      </c>
      <c r="L242" t="s">
        <v>35</v>
      </c>
      <c r="M242" t="s">
        <v>24</v>
      </c>
      <c r="N242" s="39">
        <v>1638</v>
      </c>
      <c r="O242">
        <v>48</v>
      </c>
      <c r="P242">
        <v>4.97</v>
      </c>
      <c r="Q242">
        <v>238.56</v>
      </c>
      <c r="R242">
        <v>1399.44</v>
      </c>
    </row>
    <row r="243" spans="11:18" x14ac:dyDescent="0.2">
      <c r="K243" t="s">
        <v>40</v>
      </c>
      <c r="L243" t="s">
        <v>37</v>
      </c>
      <c r="M243" t="s">
        <v>30</v>
      </c>
      <c r="N243" s="39">
        <v>1624</v>
      </c>
      <c r="O243">
        <v>114</v>
      </c>
      <c r="P243">
        <v>14.49</v>
      </c>
      <c r="Q243">
        <v>1651.8600000000001</v>
      </c>
      <c r="R243">
        <v>-27.860000000000127</v>
      </c>
    </row>
    <row r="244" spans="11:18" x14ac:dyDescent="0.2">
      <c r="K244" t="s">
        <v>40</v>
      </c>
      <c r="L244" t="s">
        <v>35</v>
      </c>
      <c r="M244" t="s">
        <v>29</v>
      </c>
      <c r="N244" s="39">
        <v>1617</v>
      </c>
      <c r="O244">
        <v>126</v>
      </c>
      <c r="P244">
        <v>7.16</v>
      </c>
      <c r="Q244">
        <v>902.16</v>
      </c>
      <c r="R244">
        <v>714.84</v>
      </c>
    </row>
    <row r="245" spans="11:18" x14ac:dyDescent="0.2">
      <c r="K245" t="s">
        <v>2</v>
      </c>
      <c r="L245" t="s">
        <v>35</v>
      </c>
      <c r="M245" t="s">
        <v>17</v>
      </c>
      <c r="N245" s="39">
        <v>1589</v>
      </c>
      <c r="O245">
        <v>303</v>
      </c>
      <c r="P245">
        <v>3.11</v>
      </c>
      <c r="Q245">
        <v>942.32999999999993</v>
      </c>
      <c r="R245">
        <v>646.67000000000007</v>
      </c>
    </row>
    <row r="246" spans="11:18" x14ac:dyDescent="0.2">
      <c r="K246" t="s">
        <v>2</v>
      </c>
      <c r="L246" t="s">
        <v>39</v>
      </c>
      <c r="M246" t="s">
        <v>22</v>
      </c>
      <c r="N246" s="39">
        <v>1568</v>
      </c>
      <c r="O246">
        <v>141</v>
      </c>
      <c r="P246">
        <v>9.77</v>
      </c>
      <c r="Q246">
        <v>1377.57</v>
      </c>
      <c r="R246">
        <v>190.43000000000006</v>
      </c>
    </row>
    <row r="247" spans="11:18" x14ac:dyDescent="0.2">
      <c r="K247" t="s">
        <v>7</v>
      </c>
      <c r="L247" t="s">
        <v>34</v>
      </c>
      <c r="M247" t="s">
        <v>25</v>
      </c>
      <c r="N247" s="39">
        <v>1568</v>
      </c>
      <c r="O247">
        <v>96</v>
      </c>
      <c r="P247">
        <v>13.15</v>
      </c>
      <c r="Q247">
        <v>1262.4000000000001</v>
      </c>
      <c r="R247">
        <v>305.59999999999991</v>
      </c>
    </row>
    <row r="248" spans="11:18" x14ac:dyDescent="0.2">
      <c r="K248" t="s">
        <v>8</v>
      </c>
      <c r="L248" t="s">
        <v>39</v>
      </c>
      <c r="M248" t="s">
        <v>26</v>
      </c>
      <c r="N248" s="39">
        <v>1561</v>
      </c>
      <c r="O248">
        <v>27</v>
      </c>
      <c r="P248">
        <v>5.6</v>
      </c>
      <c r="Q248">
        <v>151.19999999999999</v>
      </c>
      <c r="R248">
        <v>1409.8</v>
      </c>
    </row>
    <row r="249" spans="11:18" x14ac:dyDescent="0.2">
      <c r="K249" t="s">
        <v>41</v>
      </c>
      <c r="L249" t="s">
        <v>37</v>
      </c>
      <c r="M249" t="s">
        <v>30</v>
      </c>
      <c r="N249" s="39">
        <v>1526</v>
      </c>
      <c r="O249">
        <v>240</v>
      </c>
      <c r="P249">
        <v>14.49</v>
      </c>
      <c r="Q249">
        <v>3477.6</v>
      </c>
      <c r="R249">
        <v>-1951.6</v>
      </c>
    </row>
    <row r="250" spans="11:18" x14ac:dyDescent="0.2">
      <c r="K250" t="s">
        <v>5</v>
      </c>
      <c r="L250" t="s">
        <v>36</v>
      </c>
      <c r="M250" t="s">
        <v>30</v>
      </c>
      <c r="N250" s="39">
        <v>1526</v>
      </c>
      <c r="O250">
        <v>105</v>
      </c>
      <c r="P250">
        <v>14.49</v>
      </c>
      <c r="Q250">
        <v>1521.45</v>
      </c>
      <c r="R250">
        <v>4.5499999999999545</v>
      </c>
    </row>
    <row r="251" spans="11:18" x14ac:dyDescent="0.2">
      <c r="K251" t="s">
        <v>6</v>
      </c>
      <c r="L251" t="s">
        <v>37</v>
      </c>
      <c r="M251" t="s">
        <v>18</v>
      </c>
      <c r="N251" s="39">
        <v>1505</v>
      </c>
      <c r="O251">
        <v>102</v>
      </c>
      <c r="P251">
        <v>6.47</v>
      </c>
      <c r="Q251">
        <v>659.93999999999994</v>
      </c>
      <c r="R251">
        <v>845.06000000000006</v>
      </c>
    </row>
    <row r="252" spans="11:18" x14ac:dyDescent="0.2">
      <c r="K252" t="s">
        <v>41</v>
      </c>
      <c r="L252" t="s">
        <v>34</v>
      </c>
      <c r="M252" t="s">
        <v>17</v>
      </c>
      <c r="N252" s="39">
        <v>1463</v>
      </c>
      <c r="O252">
        <v>39</v>
      </c>
      <c r="P252">
        <v>3.11</v>
      </c>
      <c r="Q252">
        <v>121.28999999999999</v>
      </c>
      <c r="R252">
        <v>1341.71</v>
      </c>
    </row>
    <row r="253" spans="11:18" x14ac:dyDescent="0.2">
      <c r="K253" t="s">
        <v>6</v>
      </c>
      <c r="L253" t="s">
        <v>34</v>
      </c>
      <c r="M253" t="s">
        <v>15</v>
      </c>
      <c r="N253" s="39">
        <v>1442</v>
      </c>
      <c r="O253">
        <v>15</v>
      </c>
      <c r="P253">
        <v>11.73</v>
      </c>
      <c r="Q253">
        <v>175.95000000000002</v>
      </c>
      <c r="R253">
        <v>1266.05</v>
      </c>
    </row>
    <row r="254" spans="11:18" x14ac:dyDescent="0.2">
      <c r="K254" t="s">
        <v>10</v>
      </c>
      <c r="L254" t="s">
        <v>34</v>
      </c>
      <c r="M254" t="s">
        <v>25</v>
      </c>
      <c r="N254" s="39">
        <v>1428</v>
      </c>
      <c r="O254">
        <v>93</v>
      </c>
      <c r="P254">
        <v>13.15</v>
      </c>
      <c r="Q254">
        <v>1222.95</v>
      </c>
      <c r="R254">
        <v>205.04999999999995</v>
      </c>
    </row>
    <row r="255" spans="11:18" x14ac:dyDescent="0.2">
      <c r="K255" t="s">
        <v>10</v>
      </c>
      <c r="L255" t="s">
        <v>36</v>
      </c>
      <c r="M255" t="s">
        <v>27</v>
      </c>
      <c r="N255" s="39">
        <v>1407</v>
      </c>
      <c r="O255">
        <v>72</v>
      </c>
      <c r="P255">
        <v>16.73</v>
      </c>
      <c r="Q255">
        <v>1204.56</v>
      </c>
      <c r="R255">
        <v>202.44000000000005</v>
      </c>
    </row>
    <row r="256" spans="11:18" x14ac:dyDescent="0.2">
      <c r="K256" t="s">
        <v>6</v>
      </c>
      <c r="L256" t="s">
        <v>36</v>
      </c>
      <c r="M256" t="s">
        <v>29</v>
      </c>
      <c r="N256" s="39">
        <v>1400</v>
      </c>
      <c r="O256">
        <v>135</v>
      </c>
      <c r="P256">
        <v>7.16</v>
      </c>
      <c r="Q256">
        <v>966.6</v>
      </c>
      <c r="R256">
        <v>433.4</v>
      </c>
    </row>
    <row r="257" spans="11:18" x14ac:dyDescent="0.2">
      <c r="K257" t="s">
        <v>6</v>
      </c>
      <c r="L257" t="s">
        <v>35</v>
      </c>
      <c r="M257" t="s">
        <v>4</v>
      </c>
      <c r="N257" s="39">
        <v>1302</v>
      </c>
      <c r="O257">
        <v>402</v>
      </c>
      <c r="P257">
        <v>11.88</v>
      </c>
      <c r="Q257">
        <v>4775.76</v>
      </c>
      <c r="R257">
        <v>-3473.76</v>
      </c>
    </row>
    <row r="258" spans="11:18" x14ac:dyDescent="0.2">
      <c r="K258" t="s">
        <v>7</v>
      </c>
      <c r="L258" t="s">
        <v>38</v>
      </c>
      <c r="M258" t="s">
        <v>14</v>
      </c>
      <c r="N258" s="39">
        <v>1281</v>
      </c>
      <c r="O258">
        <v>75</v>
      </c>
      <c r="P258">
        <v>11.7</v>
      </c>
      <c r="Q258">
        <v>877.5</v>
      </c>
      <c r="R258">
        <v>403.5</v>
      </c>
    </row>
    <row r="259" spans="11:18" x14ac:dyDescent="0.2">
      <c r="K259" t="s">
        <v>3</v>
      </c>
      <c r="L259" t="s">
        <v>36</v>
      </c>
      <c r="M259" t="s">
        <v>19</v>
      </c>
      <c r="N259" s="39">
        <v>1281</v>
      </c>
      <c r="O259">
        <v>18</v>
      </c>
      <c r="P259">
        <v>7.64</v>
      </c>
      <c r="Q259">
        <v>137.51999999999998</v>
      </c>
      <c r="R259">
        <v>1143.48</v>
      </c>
    </row>
    <row r="260" spans="11:18" x14ac:dyDescent="0.2">
      <c r="K260" t="s">
        <v>41</v>
      </c>
      <c r="L260" t="s">
        <v>34</v>
      </c>
      <c r="M260" t="s">
        <v>16</v>
      </c>
      <c r="N260" s="39">
        <v>1274</v>
      </c>
      <c r="O260">
        <v>225</v>
      </c>
      <c r="P260">
        <v>8.7899999999999991</v>
      </c>
      <c r="Q260">
        <v>1977.7499999999998</v>
      </c>
      <c r="R260">
        <v>-703.74999999999977</v>
      </c>
    </row>
    <row r="261" spans="11:18" x14ac:dyDescent="0.2">
      <c r="K261" t="s">
        <v>6</v>
      </c>
      <c r="L261" t="s">
        <v>38</v>
      </c>
      <c r="M261" t="s">
        <v>27</v>
      </c>
      <c r="N261" s="39">
        <v>1134</v>
      </c>
      <c r="O261">
        <v>282</v>
      </c>
      <c r="P261">
        <v>16.73</v>
      </c>
      <c r="Q261">
        <v>4717.8599999999997</v>
      </c>
      <c r="R261">
        <v>-3583.8599999999997</v>
      </c>
    </row>
    <row r="262" spans="11:18" x14ac:dyDescent="0.2">
      <c r="K262" t="s">
        <v>9</v>
      </c>
      <c r="L262" t="s">
        <v>37</v>
      </c>
      <c r="M262" t="s">
        <v>29</v>
      </c>
      <c r="N262" s="39">
        <v>1085</v>
      </c>
      <c r="O262">
        <v>273</v>
      </c>
      <c r="P262">
        <v>7.16</v>
      </c>
      <c r="Q262">
        <v>1954.68</v>
      </c>
      <c r="R262">
        <v>-869.68000000000006</v>
      </c>
    </row>
    <row r="263" spans="11:18" x14ac:dyDescent="0.2">
      <c r="K263" t="s">
        <v>6</v>
      </c>
      <c r="L263" t="s">
        <v>35</v>
      </c>
      <c r="M263" t="s">
        <v>20</v>
      </c>
      <c r="N263" s="39">
        <v>1071</v>
      </c>
      <c r="O263">
        <v>270</v>
      </c>
      <c r="P263">
        <v>10.62</v>
      </c>
      <c r="Q263">
        <v>2867.3999999999996</v>
      </c>
      <c r="R263">
        <v>-1796.3999999999996</v>
      </c>
    </row>
    <row r="264" spans="11:18" x14ac:dyDescent="0.2">
      <c r="K264" t="s">
        <v>2</v>
      </c>
      <c r="L264" t="s">
        <v>37</v>
      </c>
      <c r="M264" t="s">
        <v>14</v>
      </c>
      <c r="N264" s="39">
        <v>1057</v>
      </c>
      <c r="O264">
        <v>54</v>
      </c>
      <c r="P264">
        <v>11.7</v>
      </c>
      <c r="Q264">
        <v>631.79999999999995</v>
      </c>
      <c r="R264">
        <v>425.20000000000005</v>
      </c>
    </row>
    <row r="265" spans="11:18" x14ac:dyDescent="0.2">
      <c r="K265" t="s">
        <v>3</v>
      </c>
      <c r="L265" t="s">
        <v>36</v>
      </c>
      <c r="M265" t="s">
        <v>28</v>
      </c>
      <c r="N265" s="39">
        <v>973</v>
      </c>
      <c r="O265">
        <v>162</v>
      </c>
      <c r="P265">
        <v>10.38</v>
      </c>
      <c r="Q265">
        <v>1681.5600000000002</v>
      </c>
      <c r="R265">
        <v>-708.56000000000017</v>
      </c>
    </row>
    <row r="266" spans="11:18" x14ac:dyDescent="0.2">
      <c r="K266" t="s">
        <v>7</v>
      </c>
      <c r="L266" t="s">
        <v>39</v>
      </c>
      <c r="M266" t="s">
        <v>27</v>
      </c>
      <c r="N266" s="39">
        <v>966</v>
      </c>
      <c r="O266">
        <v>198</v>
      </c>
      <c r="P266">
        <v>16.73</v>
      </c>
      <c r="Q266">
        <v>3312.54</v>
      </c>
      <c r="R266">
        <v>-2346.54</v>
      </c>
    </row>
    <row r="267" spans="11:18" x14ac:dyDescent="0.2">
      <c r="K267" t="s">
        <v>9</v>
      </c>
      <c r="L267" t="s">
        <v>35</v>
      </c>
      <c r="M267" t="s">
        <v>4</v>
      </c>
      <c r="N267" s="39">
        <v>959</v>
      </c>
      <c r="O267">
        <v>147</v>
      </c>
      <c r="P267">
        <v>11.88</v>
      </c>
      <c r="Q267">
        <v>1746.3600000000001</v>
      </c>
      <c r="R267">
        <v>-787.36000000000013</v>
      </c>
    </row>
    <row r="268" spans="11:18" x14ac:dyDescent="0.2">
      <c r="K268" t="s">
        <v>6</v>
      </c>
      <c r="L268" t="s">
        <v>38</v>
      </c>
      <c r="M268" t="s">
        <v>33</v>
      </c>
      <c r="N268" s="39">
        <v>959</v>
      </c>
      <c r="O268">
        <v>135</v>
      </c>
      <c r="P268">
        <v>12.37</v>
      </c>
      <c r="Q268">
        <v>1669.9499999999998</v>
      </c>
      <c r="R268">
        <v>-710.94999999999982</v>
      </c>
    </row>
    <row r="269" spans="11:18" x14ac:dyDescent="0.2">
      <c r="K269" t="s">
        <v>10</v>
      </c>
      <c r="L269" t="s">
        <v>36</v>
      </c>
      <c r="M269" t="s">
        <v>13</v>
      </c>
      <c r="N269" s="39">
        <v>945</v>
      </c>
      <c r="O269">
        <v>75</v>
      </c>
      <c r="P269">
        <v>9.33</v>
      </c>
      <c r="Q269">
        <v>699.75</v>
      </c>
      <c r="R269">
        <v>245.25</v>
      </c>
    </row>
    <row r="270" spans="11:18" x14ac:dyDescent="0.2">
      <c r="K270" t="s">
        <v>6</v>
      </c>
      <c r="L270" t="s">
        <v>38</v>
      </c>
      <c r="M270" t="s">
        <v>16</v>
      </c>
      <c r="N270" s="39">
        <v>938</v>
      </c>
      <c r="O270">
        <v>6</v>
      </c>
      <c r="P270">
        <v>8.7899999999999991</v>
      </c>
      <c r="Q270">
        <v>52.739999999999995</v>
      </c>
      <c r="R270">
        <v>885.26</v>
      </c>
    </row>
    <row r="271" spans="11:18" x14ac:dyDescent="0.2">
      <c r="K271" t="s">
        <v>3</v>
      </c>
      <c r="L271" t="s">
        <v>37</v>
      </c>
      <c r="M271" t="s">
        <v>4</v>
      </c>
      <c r="N271" s="39">
        <v>938</v>
      </c>
      <c r="O271">
        <v>366</v>
      </c>
      <c r="P271">
        <v>11.88</v>
      </c>
      <c r="Q271">
        <v>4348.08</v>
      </c>
      <c r="R271">
        <v>-3410.08</v>
      </c>
    </row>
    <row r="272" spans="11:18" x14ac:dyDescent="0.2">
      <c r="K272" t="s">
        <v>9</v>
      </c>
      <c r="L272" t="s">
        <v>34</v>
      </c>
      <c r="M272" t="s">
        <v>16</v>
      </c>
      <c r="N272" s="39">
        <v>938</v>
      </c>
      <c r="O272">
        <v>189</v>
      </c>
      <c r="P272">
        <v>8.7899999999999991</v>
      </c>
      <c r="Q272">
        <v>1661.31</v>
      </c>
      <c r="R272">
        <v>-723.31</v>
      </c>
    </row>
    <row r="273" spans="11:18" x14ac:dyDescent="0.2">
      <c r="K273" t="s">
        <v>5</v>
      </c>
      <c r="L273" t="s">
        <v>34</v>
      </c>
      <c r="M273" t="s">
        <v>19</v>
      </c>
      <c r="N273" s="39">
        <v>861</v>
      </c>
      <c r="O273">
        <v>195</v>
      </c>
      <c r="P273">
        <v>7.64</v>
      </c>
      <c r="Q273">
        <v>1489.8</v>
      </c>
      <c r="R273">
        <v>-628.79999999999995</v>
      </c>
    </row>
    <row r="274" spans="11:18" x14ac:dyDescent="0.2">
      <c r="K274" t="s">
        <v>41</v>
      </c>
      <c r="L274" t="s">
        <v>36</v>
      </c>
      <c r="M274" t="s">
        <v>28</v>
      </c>
      <c r="N274" s="39">
        <v>854</v>
      </c>
      <c r="O274">
        <v>309</v>
      </c>
      <c r="P274">
        <v>10.38</v>
      </c>
      <c r="Q274">
        <v>3207.42</v>
      </c>
      <c r="R274">
        <v>-2353.42</v>
      </c>
    </row>
    <row r="275" spans="11:18" x14ac:dyDescent="0.2">
      <c r="K275" t="s">
        <v>41</v>
      </c>
      <c r="L275" t="s">
        <v>35</v>
      </c>
      <c r="M275" t="s">
        <v>27</v>
      </c>
      <c r="N275" s="39">
        <v>847</v>
      </c>
      <c r="O275">
        <v>129</v>
      </c>
      <c r="P275">
        <v>16.73</v>
      </c>
      <c r="Q275">
        <v>2158.17</v>
      </c>
      <c r="R275">
        <v>-1311.17</v>
      </c>
    </row>
    <row r="276" spans="11:18" x14ac:dyDescent="0.2">
      <c r="K276" t="s">
        <v>8</v>
      </c>
      <c r="L276" t="s">
        <v>38</v>
      </c>
      <c r="M276" t="s">
        <v>13</v>
      </c>
      <c r="N276" s="39">
        <v>819</v>
      </c>
      <c r="O276">
        <v>510</v>
      </c>
      <c r="P276">
        <v>9.33</v>
      </c>
      <c r="Q276">
        <v>4758.3</v>
      </c>
      <c r="R276">
        <v>-3939.3</v>
      </c>
    </row>
    <row r="277" spans="11:18" x14ac:dyDescent="0.2">
      <c r="K277" t="s">
        <v>3</v>
      </c>
      <c r="L277" t="s">
        <v>35</v>
      </c>
      <c r="M277" t="s">
        <v>33</v>
      </c>
      <c r="N277" s="39">
        <v>819</v>
      </c>
      <c r="O277">
        <v>306</v>
      </c>
      <c r="P277">
        <v>12.37</v>
      </c>
      <c r="Q277">
        <v>3785.22</v>
      </c>
      <c r="R277">
        <v>-2966.22</v>
      </c>
    </row>
    <row r="278" spans="11:18" x14ac:dyDescent="0.2">
      <c r="K278" t="s">
        <v>2</v>
      </c>
      <c r="L278" t="s">
        <v>36</v>
      </c>
      <c r="M278" t="s">
        <v>27</v>
      </c>
      <c r="N278" s="39">
        <v>798</v>
      </c>
      <c r="O278">
        <v>519</v>
      </c>
      <c r="P278">
        <v>16.73</v>
      </c>
      <c r="Q278">
        <v>8682.8700000000008</v>
      </c>
      <c r="R278">
        <v>-7884.8700000000008</v>
      </c>
    </row>
    <row r="279" spans="11:18" x14ac:dyDescent="0.2">
      <c r="K279" t="s">
        <v>41</v>
      </c>
      <c r="L279" t="s">
        <v>37</v>
      </c>
      <c r="M279" t="s">
        <v>15</v>
      </c>
      <c r="N279" s="39">
        <v>714</v>
      </c>
      <c r="O279">
        <v>231</v>
      </c>
      <c r="P279">
        <v>11.73</v>
      </c>
      <c r="Q279">
        <v>2709.63</v>
      </c>
      <c r="R279">
        <v>-1995.63</v>
      </c>
    </row>
    <row r="280" spans="11:18" x14ac:dyDescent="0.2">
      <c r="K280" t="s">
        <v>9</v>
      </c>
      <c r="L280" t="s">
        <v>34</v>
      </c>
      <c r="M280" t="s">
        <v>17</v>
      </c>
      <c r="N280" s="39">
        <v>707</v>
      </c>
      <c r="O280">
        <v>174</v>
      </c>
      <c r="P280">
        <v>3.11</v>
      </c>
      <c r="Q280">
        <v>541.14</v>
      </c>
      <c r="R280">
        <v>165.86</v>
      </c>
    </row>
    <row r="281" spans="11:18" x14ac:dyDescent="0.2">
      <c r="K281" t="s">
        <v>10</v>
      </c>
      <c r="L281" t="s">
        <v>34</v>
      </c>
      <c r="M281" t="s">
        <v>17</v>
      </c>
      <c r="N281" s="39">
        <v>700</v>
      </c>
      <c r="O281">
        <v>87</v>
      </c>
      <c r="P281">
        <v>3.11</v>
      </c>
      <c r="Q281">
        <v>270.57</v>
      </c>
      <c r="R281">
        <v>429.43</v>
      </c>
    </row>
    <row r="282" spans="11:18" x14ac:dyDescent="0.2">
      <c r="K282" t="s">
        <v>2</v>
      </c>
      <c r="L282" t="s">
        <v>39</v>
      </c>
      <c r="M282" t="s">
        <v>23</v>
      </c>
      <c r="N282" s="39">
        <v>630</v>
      </c>
      <c r="O282">
        <v>36</v>
      </c>
      <c r="P282">
        <v>6.49</v>
      </c>
      <c r="Q282">
        <v>233.64000000000001</v>
      </c>
      <c r="R282">
        <v>396.36</v>
      </c>
    </row>
    <row r="283" spans="11:18" x14ac:dyDescent="0.2">
      <c r="K283" t="s">
        <v>40</v>
      </c>
      <c r="L283" t="s">
        <v>38</v>
      </c>
      <c r="M283" t="s">
        <v>24</v>
      </c>
      <c r="N283" s="39">
        <v>623</v>
      </c>
      <c r="O283">
        <v>51</v>
      </c>
      <c r="P283">
        <v>4.97</v>
      </c>
      <c r="Q283">
        <v>253.47</v>
      </c>
      <c r="R283">
        <v>369.53</v>
      </c>
    </row>
    <row r="284" spans="11:18" x14ac:dyDescent="0.2">
      <c r="K284" t="s">
        <v>41</v>
      </c>
      <c r="L284" t="s">
        <v>35</v>
      </c>
      <c r="M284" t="s">
        <v>19</v>
      </c>
      <c r="N284" s="39">
        <v>609</v>
      </c>
      <c r="O284">
        <v>99</v>
      </c>
      <c r="P284">
        <v>7.64</v>
      </c>
      <c r="Q284">
        <v>756.36</v>
      </c>
      <c r="R284">
        <v>-147.36000000000001</v>
      </c>
    </row>
    <row r="285" spans="11:18" x14ac:dyDescent="0.2">
      <c r="K285" t="s">
        <v>40</v>
      </c>
      <c r="L285" t="s">
        <v>38</v>
      </c>
      <c r="M285" t="s">
        <v>26</v>
      </c>
      <c r="N285" s="39">
        <v>609</v>
      </c>
      <c r="O285">
        <v>87</v>
      </c>
      <c r="P285">
        <v>5.6</v>
      </c>
      <c r="Q285">
        <v>487.2</v>
      </c>
      <c r="R285">
        <v>121.80000000000001</v>
      </c>
    </row>
    <row r="286" spans="11:18" x14ac:dyDescent="0.2">
      <c r="K286" t="s">
        <v>10</v>
      </c>
      <c r="L286" t="s">
        <v>35</v>
      </c>
      <c r="M286" t="s">
        <v>21</v>
      </c>
      <c r="N286" s="39">
        <v>567</v>
      </c>
      <c r="O286">
        <v>228</v>
      </c>
      <c r="P286">
        <v>9</v>
      </c>
      <c r="Q286">
        <v>2052</v>
      </c>
      <c r="R286">
        <v>-1485</v>
      </c>
    </row>
    <row r="287" spans="11:18" x14ac:dyDescent="0.2">
      <c r="K287" t="s">
        <v>6</v>
      </c>
      <c r="L287" t="s">
        <v>37</v>
      </c>
      <c r="M287" t="s">
        <v>30</v>
      </c>
      <c r="N287" s="39">
        <v>560</v>
      </c>
      <c r="O287">
        <v>81</v>
      </c>
      <c r="P287">
        <v>14.49</v>
      </c>
      <c r="Q287">
        <v>1173.69</v>
      </c>
      <c r="R287">
        <v>-613.69000000000005</v>
      </c>
    </row>
    <row r="288" spans="11:18" x14ac:dyDescent="0.2">
      <c r="K288" t="s">
        <v>2</v>
      </c>
      <c r="L288" t="s">
        <v>35</v>
      </c>
      <c r="M288" t="s">
        <v>19</v>
      </c>
      <c r="N288" s="39">
        <v>553</v>
      </c>
      <c r="O288">
        <v>15</v>
      </c>
      <c r="P288">
        <v>7.64</v>
      </c>
      <c r="Q288">
        <v>114.6</v>
      </c>
      <c r="R288">
        <v>438.4</v>
      </c>
    </row>
    <row r="289" spans="11:18" x14ac:dyDescent="0.2">
      <c r="K289" t="s">
        <v>6</v>
      </c>
      <c r="L289" t="s">
        <v>34</v>
      </c>
      <c r="M289" t="s">
        <v>4</v>
      </c>
      <c r="N289" s="39">
        <v>525</v>
      </c>
      <c r="O289">
        <v>48</v>
      </c>
      <c r="P289">
        <v>11.88</v>
      </c>
      <c r="Q289">
        <v>570.24</v>
      </c>
      <c r="R289">
        <v>-45.240000000000009</v>
      </c>
    </row>
    <row r="290" spans="11:18" x14ac:dyDescent="0.2">
      <c r="K290" t="s">
        <v>5</v>
      </c>
      <c r="L290" t="s">
        <v>37</v>
      </c>
      <c r="M290" t="s">
        <v>22</v>
      </c>
      <c r="N290" s="39">
        <v>518</v>
      </c>
      <c r="O290">
        <v>75</v>
      </c>
      <c r="P290">
        <v>9.77</v>
      </c>
      <c r="Q290">
        <v>732.75</v>
      </c>
      <c r="R290">
        <v>-214.75</v>
      </c>
    </row>
    <row r="291" spans="11:18" x14ac:dyDescent="0.2">
      <c r="K291" t="s">
        <v>6</v>
      </c>
      <c r="L291" t="s">
        <v>36</v>
      </c>
      <c r="M291" t="s">
        <v>21</v>
      </c>
      <c r="N291" s="39">
        <v>497</v>
      </c>
      <c r="O291">
        <v>63</v>
      </c>
      <c r="P291">
        <v>9</v>
      </c>
      <c r="Q291">
        <v>567</v>
      </c>
      <c r="R291">
        <v>-70</v>
      </c>
    </row>
    <row r="292" spans="11:18" x14ac:dyDescent="0.2">
      <c r="K292" t="s">
        <v>5</v>
      </c>
      <c r="L292" t="s">
        <v>35</v>
      </c>
      <c r="M292" t="s">
        <v>22</v>
      </c>
      <c r="N292" s="39">
        <v>490</v>
      </c>
      <c r="O292">
        <v>84</v>
      </c>
      <c r="P292">
        <v>9.77</v>
      </c>
      <c r="Q292">
        <v>820.68</v>
      </c>
      <c r="R292">
        <v>-330.67999999999995</v>
      </c>
    </row>
    <row r="293" spans="11:18" x14ac:dyDescent="0.2">
      <c r="K293" t="s">
        <v>6</v>
      </c>
      <c r="L293" t="s">
        <v>38</v>
      </c>
      <c r="M293" t="s">
        <v>25</v>
      </c>
      <c r="N293" s="39">
        <v>469</v>
      </c>
      <c r="O293">
        <v>75</v>
      </c>
      <c r="P293">
        <v>13.15</v>
      </c>
      <c r="Q293">
        <v>986.25</v>
      </c>
      <c r="R293">
        <v>-517.25</v>
      </c>
    </row>
    <row r="294" spans="11:18" x14ac:dyDescent="0.2">
      <c r="K294" t="s">
        <v>8</v>
      </c>
      <c r="L294" t="s">
        <v>37</v>
      </c>
      <c r="M294" t="s">
        <v>21</v>
      </c>
      <c r="N294" s="39">
        <v>434</v>
      </c>
      <c r="O294">
        <v>87</v>
      </c>
      <c r="P294">
        <v>9</v>
      </c>
      <c r="Q294">
        <v>783</v>
      </c>
      <c r="R294">
        <v>-349</v>
      </c>
    </row>
    <row r="295" spans="11:18" x14ac:dyDescent="0.2">
      <c r="K295" t="s">
        <v>5</v>
      </c>
      <c r="L295" t="s">
        <v>39</v>
      </c>
      <c r="M295" t="s">
        <v>18</v>
      </c>
      <c r="N295" s="39">
        <v>385</v>
      </c>
      <c r="O295">
        <v>249</v>
      </c>
      <c r="P295">
        <v>6.47</v>
      </c>
      <c r="Q295">
        <v>1611.03</v>
      </c>
      <c r="R295">
        <v>-1226.03</v>
      </c>
    </row>
    <row r="296" spans="11:18" x14ac:dyDescent="0.2">
      <c r="K296" t="s">
        <v>8</v>
      </c>
      <c r="L296" t="s">
        <v>35</v>
      </c>
      <c r="M296" t="s">
        <v>33</v>
      </c>
      <c r="N296" s="39">
        <v>357</v>
      </c>
      <c r="O296">
        <v>126</v>
      </c>
      <c r="P296">
        <v>12.37</v>
      </c>
      <c r="Q296">
        <v>1558.62</v>
      </c>
      <c r="R296">
        <v>-1201.6199999999999</v>
      </c>
    </row>
    <row r="297" spans="11:18" x14ac:dyDescent="0.2">
      <c r="K297" t="s">
        <v>41</v>
      </c>
      <c r="L297" t="s">
        <v>34</v>
      </c>
      <c r="M297" t="s">
        <v>22</v>
      </c>
      <c r="N297" s="39">
        <v>336</v>
      </c>
      <c r="O297">
        <v>144</v>
      </c>
      <c r="P297">
        <v>9.77</v>
      </c>
      <c r="Q297">
        <v>1406.8799999999999</v>
      </c>
      <c r="R297">
        <v>-1070.8799999999999</v>
      </c>
    </row>
    <row r="298" spans="11:18" x14ac:dyDescent="0.2">
      <c r="K298" t="s">
        <v>7</v>
      </c>
      <c r="L298" t="s">
        <v>36</v>
      </c>
      <c r="M298" t="s">
        <v>32</v>
      </c>
      <c r="N298" s="39">
        <v>280</v>
      </c>
      <c r="O298">
        <v>87</v>
      </c>
      <c r="P298">
        <v>8.65</v>
      </c>
      <c r="Q298">
        <v>752.55000000000007</v>
      </c>
      <c r="R298">
        <v>-472.55000000000007</v>
      </c>
    </row>
    <row r="299" spans="11:18" x14ac:dyDescent="0.2">
      <c r="K299" t="s">
        <v>9</v>
      </c>
      <c r="L299" t="s">
        <v>37</v>
      </c>
      <c r="M299" t="s">
        <v>4</v>
      </c>
      <c r="N299" s="39">
        <v>259</v>
      </c>
      <c r="O299">
        <v>207</v>
      </c>
      <c r="P299">
        <v>11.88</v>
      </c>
      <c r="Q299">
        <v>2459.1600000000003</v>
      </c>
      <c r="R299">
        <v>-2200.1600000000003</v>
      </c>
    </row>
    <row r="300" spans="11:18" x14ac:dyDescent="0.2">
      <c r="K300" t="s">
        <v>2</v>
      </c>
      <c r="L300" t="s">
        <v>34</v>
      </c>
      <c r="M300" t="s">
        <v>13</v>
      </c>
      <c r="N300" s="39">
        <v>252</v>
      </c>
      <c r="O300">
        <v>54</v>
      </c>
      <c r="P300">
        <v>9.33</v>
      </c>
      <c r="Q300">
        <v>503.82</v>
      </c>
      <c r="R300">
        <v>-251.82</v>
      </c>
    </row>
    <row r="301" spans="11:18" x14ac:dyDescent="0.2">
      <c r="K301" t="s">
        <v>10</v>
      </c>
      <c r="L301" t="s">
        <v>37</v>
      </c>
      <c r="M301" t="s">
        <v>21</v>
      </c>
      <c r="N301" s="39">
        <v>245</v>
      </c>
      <c r="O301">
        <v>288</v>
      </c>
      <c r="P301">
        <v>9</v>
      </c>
      <c r="Q301">
        <v>2592</v>
      </c>
      <c r="R301">
        <v>-2347</v>
      </c>
    </row>
    <row r="302" spans="11:18" x14ac:dyDescent="0.2">
      <c r="K302" t="s">
        <v>2</v>
      </c>
      <c r="L302" t="s">
        <v>37</v>
      </c>
      <c r="M302" t="s">
        <v>19</v>
      </c>
      <c r="N302" s="39">
        <v>238</v>
      </c>
      <c r="O302">
        <v>18</v>
      </c>
      <c r="P302">
        <v>7.64</v>
      </c>
      <c r="Q302">
        <v>137.51999999999998</v>
      </c>
      <c r="R302">
        <v>100.48000000000002</v>
      </c>
    </row>
    <row r="303" spans="11:18" x14ac:dyDescent="0.2">
      <c r="K303" t="s">
        <v>40</v>
      </c>
      <c r="L303" t="s">
        <v>36</v>
      </c>
      <c r="M303" t="s">
        <v>4</v>
      </c>
      <c r="N303" s="39">
        <v>217</v>
      </c>
      <c r="O303">
        <v>36</v>
      </c>
      <c r="P303">
        <v>11.88</v>
      </c>
      <c r="Q303">
        <v>427.68</v>
      </c>
      <c r="R303">
        <v>-210.68</v>
      </c>
    </row>
    <row r="304" spans="11:18" x14ac:dyDescent="0.2">
      <c r="K304" t="s">
        <v>2</v>
      </c>
      <c r="L304" t="s">
        <v>36</v>
      </c>
      <c r="M304" t="s">
        <v>17</v>
      </c>
      <c r="N304" s="39">
        <v>189</v>
      </c>
      <c r="O304">
        <v>48</v>
      </c>
      <c r="P304">
        <v>3.11</v>
      </c>
      <c r="Q304">
        <v>149.28</v>
      </c>
      <c r="R304">
        <v>39.72</v>
      </c>
    </row>
  </sheetData>
  <autoFilter ref="U6:X6" xr:uid="{83006EB3-BB40-451B-99B8-DF4A33E06D70}"/>
  <conditionalFormatting sqref="E5:E10">
    <cfRule type="dataBar" priority="2">
      <dataBar showValue="0">
        <cfvo type="min"/>
        <cfvo type="max"/>
        <color rgb="FF63C384"/>
      </dataBar>
      <extLst>
        <ext xmlns:x14="http://schemas.microsoft.com/office/spreadsheetml/2009/9/main" uri="{B025F937-C7B1-47D3-B67F-A62EFF666E3E}">
          <x14:id>{716D6BB8-F4F9-4155-993C-3AFD3D8D1F4B}</x14:id>
        </ext>
      </extLst>
    </cfRule>
  </conditionalFormatting>
  <conditionalFormatting sqref="W7:W12">
    <cfRule type="dataBar" priority="1">
      <dataBar showValue="0">
        <cfvo type="min"/>
        <cfvo type="max"/>
        <color rgb="FF638EC6"/>
      </dataBar>
      <extLst>
        <ext xmlns:x14="http://schemas.microsoft.com/office/spreadsheetml/2009/9/main" uri="{B025F937-C7B1-47D3-B67F-A62EFF666E3E}">
          <x14:id>{E91FD070-D552-43F2-B3DC-6347B308E59B}</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16D6BB8-F4F9-4155-993C-3AFD3D8D1F4B}">
            <x14:dataBar minLength="0" maxLength="100" border="1" negativeBarBorderColorSameAsPositive="0">
              <x14:cfvo type="autoMin"/>
              <x14:cfvo type="autoMax"/>
              <x14:borderColor rgb="FF63C384"/>
              <x14:negativeFillColor rgb="FFFF0000"/>
              <x14:negativeBorderColor rgb="FFFF0000"/>
              <x14:axisColor rgb="FF000000"/>
            </x14:dataBar>
          </x14:cfRule>
          <xm:sqref>E5:E10</xm:sqref>
        </x14:conditionalFormatting>
        <x14:conditionalFormatting xmlns:xm="http://schemas.microsoft.com/office/excel/2006/main">
          <x14:cfRule type="dataBar" id="{E91FD070-D552-43F2-B3DC-6347B308E59B}">
            <x14:dataBar minLength="0" maxLength="100" border="1" negativeBarBorderColorSameAsPositive="0">
              <x14:cfvo type="autoMin"/>
              <x14:cfvo type="autoMax"/>
              <x14:borderColor rgb="FF638EC6"/>
              <x14:negativeFillColor rgb="FFFF0000"/>
              <x14:negativeBorderColor rgb="FFFF0000"/>
              <x14:axisColor rgb="FF000000"/>
            </x14:dataBar>
          </x14:cfRule>
          <xm:sqref>W7:W12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8419-C162-4D5C-91D7-757C4A363440}">
  <dimension ref="A1:G19"/>
  <sheetViews>
    <sheetView workbookViewId="0">
      <selection activeCell="K19" sqref="K19"/>
    </sheetView>
  </sheetViews>
  <sheetFormatPr baseColWidth="10" defaultColWidth="8.83203125" defaultRowHeight="15" x14ac:dyDescent="0.2"/>
  <cols>
    <col min="4" max="4" width="11.5" bestFit="1" customWidth="1"/>
    <col min="5" max="5" width="14" bestFit="1" customWidth="1"/>
    <col min="6" max="6" width="4.5" bestFit="1" customWidth="1"/>
    <col min="7" max="7" width="11.5" bestFit="1" customWidth="1"/>
    <col min="8" max="13" width="16.33203125" bestFit="1" customWidth="1"/>
    <col min="14" max="14" width="11.33203125" bestFit="1" customWidth="1"/>
  </cols>
  <sheetData>
    <row r="1" spans="1:7" s="1" customFormat="1" ht="52.5" customHeight="1" x14ac:dyDescent="0.2">
      <c r="A1" s="11"/>
      <c r="C1" s="2" t="s">
        <v>66</v>
      </c>
    </row>
    <row r="4" spans="1:7" x14ac:dyDescent="0.2">
      <c r="D4" s="17" t="s">
        <v>72</v>
      </c>
      <c r="E4" t="s">
        <v>74</v>
      </c>
      <c r="F4" t="s">
        <v>76</v>
      </c>
      <c r="G4" t="s">
        <v>75</v>
      </c>
    </row>
    <row r="5" spans="1:7" x14ac:dyDescent="0.2">
      <c r="D5" s="18" t="s">
        <v>38</v>
      </c>
      <c r="E5" s="3">
        <v>15820</v>
      </c>
      <c r="F5" s="3">
        <v>15820</v>
      </c>
      <c r="G5" s="4">
        <v>711</v>
      </c>
    </row>
    <row r="6" spans="1:7" x14ac:dyDescent="0.2">
      <c r="D6" s="18" t="s">
        <v>36</v>
      </c>
      <c r="E6" s="3">
        <v>27377</v>
      </c>
      <c r="F6" s="3">
        <v>27377</v>
      </c>
      <c r="G6" s="4">
        <v>513</v>
      </c>
    </row>
    <row r="7" spans="1:7" x14ac:dyDescent="0.2">
      <c r="D7" s="18" t="s">
        <v>34</v>
      </c>
      <c r="E7" s="3">
        <v>33670</v>
      </c>
      <c r="F7" s="3">
        <v>33670</v>
      </c>
      <c r="G7" s="4">
        <v>1515</v>
      </c>
    </row>
    <row r="8" spans="1:7" x14ac:dyDescent="0.2">
      <c r="D8" s="18" t="s">
        <v>37</v>
      </c>
      <c r="E8" s="3">
        <v>26985</v>
      </c>
      <c r="F8" s="3">
        <v>26985</v>
      </c>
      <c r="G8" s="4">
        <v>1329</v>
      </c>
    </row>
    <row r="9" spans="1:7" x14ac:dyDescent="0.2">
      <c r="D9" s="18" t="s">
        <v>39</v>
      </c>
      <c r="E9" s="3">
        <v>15827</v>
      </c>
      <c r="F9" s="3">
        <v>15827</v>
      </c>
      <c r="G9" s="4">
        <v>885</v>
      </c>
    </row>
    <row r="10" spans="1:7" x14ac:dyDescent="0.2">
      <c r="D10" s="18" t="s">
        <v>35</v>
      </c>
      <c r="E10" s="3">
        <v>11018</v>
      </c>
      <c r="F10" s="3">
        <v>11018</v>
      </c>
      <c r="G10" s="4">
        <v>972</v>
      </c>
    </row>
    <row r="13" spans="1:7" x14ac:dyDescent="0.2">
      <c r="D13" s="17" t="s">
        <v>94</v>
      </c>
      <c r="E13" t="s">
        <v>74</v>
      </c>
      <c r="F13" t="s">
        <v>76</v>
      </c>
      <c r="G13" t="s">
        <v>75</v>
      </c>
    </row>
    <row r="14" spans="1:7" x14ac:dyDescent="0.2">
      <c r="D14" s="18" t="s">
        <v>38</v>
      </c>
      <c r="E14" s="3">
        <v>25221</v>
      </c>
      <c r="F14" s="4">
        <v>288</v>
      </c>
      <c r="G14" s="4">
        <v>288</v>
      </c>
    </row>
    <row r="15" spans="1:7" x14ac:dyDescent="0.2">
      <c r="D15" s="18" t="s">
        <v>36</v>
      </c>
      <c r="E15" s="3">
        <v>39620</v>
      </c>
      <c r="F15" s="4">
        <v>573</v>
      </c>
      <c r="G15" s="4">
        <v>573</v>
      </c>
    </row>
    <row r="16" spans="1:7" x14ac:dyDescent="0.2">
      <c r="D16" s="18" t="s">
        <v>34</v>
      </c>
      <c r="E16" s="3">
        <v>41559</v>
      </c>
      <c r="F16" s="4">
        <v>1188</v>
      </c>
      <c r="G16" s="4">
        <v>1188</v>
      </c>
    </row>
    <row r="17" spans="4:7" x14ac:dyDescent="0.2">
      <c r="D17" s="18" t="s">
        <v>37</v>
      </c>
      <c r="E17" s="3">
        <v>14504</v>
      </c>
      <c r="F17" s="4">
        <v>156</v>
      </c>
      <c r="G17" s="4">
        <v>156</v>
      </c>
    </row>
    <row r="18" spans="4:7" x14ac:dyDescent="0.2">
      <c r="D18" s="18" t="s">
        <v>39</v>
      </c>
      <c r="E18" s="3">
        <v>16548</v>
      </c>
      <c r="F18" s="4">
        <v>552</v>
      </c>
      <c r="G18" s="4">
        <v>552</v>
      </c>
    </row>
    <row r="19" spans="4:7" x14ac:dyDescent="0.2">
      <c r="D19" s="18" t="s">
        <v>35</v>
      </c>
      <c r="E19" s="3">
        <v>28273</v>
      </c>
      <c r="F19" s="4">
        <v>912</v>
      </c>
      <c r="G19" s="4">
        <v>912</v>
      </c>
    </row>
  </sheetData>
  <conditionalFormatting sqref="F4">
    <cfRule type="dataBar" priority="3">
      <dataBar showValue="0">
        <cfvo type="min"/>
        <cfvo type="max"/>
        <color rgb="FF63C384"/>
      </dataBar>
      <extLst>
        <ext xmlns:x14="http://schemas.microsoft.com/office/spreadsheetml/2009/9/main" uri="{B025F937-C7B1-47D3-B67F-A62EFF666E3E}">
          <x14:id>{35C56227-FF8F-4802-A71A-35BC7F28E02B}</x14:id>
        </ext>
      </extLst>
    </cfRule>
  </conditionalFormatting>
  <conditionalFormatting pivot="1" sqref="F5:F10">
    <cfRule type="dataBar" priority="2">
      <dataBar showValue="0">
        <cfvo type="min"/>
        <cfvo type="max"/>
        <color rgb="FF63C384"/>
      </dataBar>
      <extLst>
        <ext xmlns:x14="http://schemas.microsoft.com/office/spreadsheetml/2009/9/main" uri="{B025F937-C7B1-47D3-B67F-A62EFF666E3E}">
          <x14:id>{71026588-BBF0-4344-A011-397F553411E6}</x14:id>
        </ext>
      </extLst>
    </cfRule>
  </conditionalFormatting>
  <conditionalFormatting pivot="1" sqref="F14:F19">
    <cfRule type="dataBar" priority="1">
      <dataBar showValue="0">
        <cfvo type="min"/>
        <cfvo type="max"/>
        <color rgb="FF008AEF"/>
      </dataBar>
      <extLst>
        <ext xmlns:x14="http://schemas.microsoft.com/office/spreadsheetml/2009/9/main" uri="{B025F937-C7B1-47D3-B67F-A62EFF666E3E}">
          <x14:id>{5E6725C5-7194-45DA-8C61-4AF38A643146}</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35C56227-FF8F-4802-A71A-35BC7F28E02B}">
            <x14:dataBar minLength="0" maxLength="100" border="1" negativeBarBorderColorSameAsPositive="0">
              <x14:cfvo type="autoMin"/>
              <x14:cfvo type="autoMax"/>
              <x14:borderColor rgb="FF63C384"/>
              <x14:negativeFillColor rgb="FFFF0000"/>
              <x14:negativeBorderColor rgb="FFFF0000"/>
              <x14:axisColor rgb="FF000000"/>
            </x14:dataBar>
          </x14:cfRule>
          <xm:sqref>F4</xm:sqref>
        </x14:conditionalFormatting>
        <x14:conditionalFormatting xmlns:xm="http://schemas.microsoft.com/office/excel/2006/main" pivot="1">
          <x14:cfRule type="dataBar" id="{71026588-BBF0-4344-A011-397F553411E6}">
            <x14:dataBar minLength="0" maxLength="100" border="1" negativeBarBorderColorSameAsPositive="0">
              <x14:cfvo type="autoMin"/>
              <x14:cfvo type="autoMax"/>
              <x14:borderColor rgb="FF63C384"/>
              <x14:negativeFillColor rgb="FFFF0000"/>
              <x14:negativeBorderColor rgb="FFFF0000"/>
              <x14:axisColor rgb="FF000000"/>
            </x14:dataBar>
          </x14:cfRule>
          <xm:sqref>F5:F10</xm:sqref>
        </x14:conditionalFormatting>
        <x14:conditionalFormatting xmlns:xm="http://schemas.microsoft.com/office/excel/2006/main" pivot="1">
          <x14:cfRule type="dataBar" id="{5E6725C5-7194-45DA-8C61-4AF38A643146}">
            <x14:dataBar minLength="0" maxLength="100" border="1" negativeBarBorderColorSameAsPositive="0">
              <x14:cfvo type="autoMin"/>
              <x14:cfvo type="autoMax"/>
              <x14:borderColor rgb="FF008AEF"/>
              <x14:negativeFillColor rgb="FFFF0000"/>
              <x14:negativeBorderColor rgb="FFFF0000"/>
              <x14:axisColor rgb="FF000000"/>
            </x14:dataBar>
          </x14:cfRule>
          <xm:sqref>F14:F19</xm:sqref>
        </x14:conditionalFormatting>
      </x14:conditionalFormattings>
    </ex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1235-D8E6-4899-ADB3-2CEC15471CE5}">
  <dimension ref="A1:I15"/>
  <sheetViews>
    <sheetView topLeftCell="C1" workbookViewId="0">
      <selection activeCell="I3" sqref="I3"/>
    </sheetView>
  </sheetViews>
  <sheetFormatPr baseColWidth="10" defaultColWidth="8.83203125" defaultRowHeight="15" x14ac:dyDescent="0.2"/>
  <cols>
    <col min="4" max="4" width="18" bestFit="1" customWidth="1"/>
    <col min="5" max="5" width="12.33203125" bestFit="1" customWidth="1"/>
    <col min="6" max="6" width="13.5" bestFit="1" customWidth="1"/>
    <col min="7" max="7" width="20.33203125" bestFit="1" customWidth="1"/>
    <col min="8" max="8" width="14" bestFit="1" customWidth="1"/>
    <col min="9" max="9" width="11.5" bestFit="1" customWidth="1"/>
  </cols>
  <sheetData>
    <row r="1" spans="1:9" s="1" customFormat="1" ht="52.5" customHeight="1" x14ac:dyDescent="0.2">
      <c r="A1" s="11"/>
      <c r="C1" s="2" t="s">
        <v>67</v>
      </c>
    </row>
    <row r="4" spans="1:9" x14ac:dyDescent="0.2">
      <c r="D4" s="17" t="s">
        <v>72</v>
      </c>
      <c r="E4" t="s">
        <v>77</v>
      </c>
      <c r="G4" s="17" t="s">
        <v>72</v>
      </c>
      <c r="H4" t="s">
        <v>74</v>
      </c>
      <c r="I4" t="s">
        <v>75</v>
      </c>
    </row>
    <row r="5" spans="1:9" x14ac:dyDescent="0.2">
      <c r="D5" s="18" t="s">
        <v>24</v>
      </c>
      <c r="E5" s="19">
        <v>33.88697318007663</v>
      </c>
      <c r="G5" s="18" t="s">
        <v>30</v>
      </c>
      <c r="H5" s="3">
        <v>66500</v>
      </c>
      <c r="I5" s="4">
        <v>2802</v>
      </c>
    </row>
    <row r="6" spans="1:9" x14ac:dyDescent="0.2">
      <c r="D6" s="18" t="s">
        <v>22</v>
      </c>
      <c r="E6" s="19">
        <v>32.301656920077974</v>
      </c>
      <c r="G6" s="18" t="s">
        <v>22</v>
      </c>
      <c r="H6" s="3">
        <v>66283</v>
      </c>
      <c r="I6" s="4">
        <v>2052</v>
      </c>
    </row>
    <row r="7" spans="1:9" x14ac:dyDescent="0.2">
      <c r="D7" s="18" t="s">
        <v>26</v>
      </c>
      <c r="E7" s="19">
        <v>32.807189542483663</v>
      </c>
      <c r="G7" s="18" t="s">
        <v>26</v>
      </c>
      <c r="H7" s="3">
        <v>70273</v>
      </c>
      <c r="I7" s="4">
        <v>2142</v>
      </c>
    </row>
    <row r="8" spans="1:9" x14ac:dyDescent="0.2">
      <c r="D8" s="18" t="s">
        <v>33</v>
      </c>
      <c r="E8" s="19">
        <v>37.303128371089535</v>
      </c>
      <c r="G8" s="18" t="s">
        <v>28</v>
      </c>
      <c r="H8" s="3">
        <v>72373</v>
      </c>
      <c r="I8" s="4">
        <v>3207</v>
      </c>
    </row>
    <row r="9" spans="1:9" x14ac:dyDescent="0.2">
      <c r="D9" s="18" t="s">
        <v>15</v>
      </c>
      <c r="E9" s="19">
        <v>44.990867579908674</v>
      </c>
      <c r="G9" s="18" t="s">
        <v>32</v>
      </c>
      <c r="H9" s="3">
        <v>71967</v>
      </c>
      <c r="I9" s="4">
        <v>2301</v>
      </c>
    </row>
    <row r="10" spans="1:9" x14ac:dyDescent="0.2">
      <c r="D10" s="18" t="s">
        <v>73</v>
      </c>
      <c r="E10" s="19">
        <v>35.949565217391303</v>
      </c>
      <c r="G10" s="18" t="s">
        <v>17</v>
      </c>
      <c r="H10" s="3">
        <v>63721</v>
      </c>
      <c r="I10" s="4">
        <v>2331</v>
      </c>
    </row>
    <row r="11" spans="1:9" x14ac:dyDescent="0.2">
      <c r="G11" s="18" t="s">
        <v>16</v>
      </c>
      <c r="H11" s="3">
        <v>62111</v>
      </c>
      <c r="I11" s="4">
        <v>2154</v>
      </c>
    </row>
    <row r="12" spans="1:9" x14ac:dyDescent="0.2">
      <c r="G12" s="18" t="s">
        <v>27</v>
      </c>
      <c r="H12" s="3">
        <v>69461</v>
      </c>
      <c r="I12" s="4">
        <v>2982</v>
      </c>
    </row>
    <row r="13" spans="1:9" x14ac:dyDescent="0.2">
      <c r="F13" t="s">
        <v>95</v>
      </c>
      <c r="G13" s="18" t="s">
        <v>33</v>
      </c>
      <c r="H13" s="3">
        <v>69160</v>
      </c>
      <c r="I13" s="4">
        <v>1854</v>
      </c>
    </row>
    <row r="14" spans="1:9" x14ac:dyDescent="0.2">
      <c r="G14" s="18" t="s">
        <v>15</v>
      </c>
      <c r="H14" s="3">
        <v>68971</v>
      </c>
      <c r="I14" s="4">
        <v>1533</v>
      </c>
    </row>
    <row r="15" spans="1:9" x14ac:dyDescent="0.2">
      <c r="G15" s="18" t="s">
        <v>73</v>
      </c>
      <c r="H15" s="3">
        <v>680820</v>
      </c>
      <c r="I15" s="4">
        <v>23358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1813-D5A6-4BB0-8B32-0D399E789DAE}">
  <dimension ref="A1:AA304"/>
  <sheetViews>
    <sheetView workbookViewId="0">
      <selection activeCell="AZ15" sqref="AZ15"/>
    </sheetView>
  </sheetViews>
  <sheetFormatPr baseColWidth="10" defaultColWidth="8.83203125" defaultRowHeight="15" x14ac:dyDescent="0.2"/>
  <cols>
    <col min="23" max="23" width="16" bestFit="1" customWidth="1"/>
    <col min="24" max="24" width="13" bestFit="1" customWidth="1"/>
    <col min="25" max="25" width="21.83203125" bestFit="1" customWidth="1"/>
    <col min="26" max="26" width="8.33203125" bestFit="1" customWidth="1"/>
    <col min="27" max="27" width="5.6640625" bestFit="1" customWidth="1"/>
  </cols>
  <sheetData>
    <row r="1" spans="1:27" s="1" customFormat="1" ht="52.5" customHeight="1" x14ac:dyDescent="0.2">
      <c r="A1" s="11"/>
      <c r="C1" s="2" t="s">
        <v>68</v>
      </c>
    </row>
    <row r="4" spans="1:27" x14ac:dyDescent="0.2">
      <c r="W4" s="5" t="s">
        <v>11</v>
      </c>
      <c r="X4" s="5" t="s">
        <v>12</v>
      </c>
      <c r="Y4" s="5" t="s">
        <v>0</v>
      </c>
      <c r="Z4" s="9" t="s">
        <v>1</v>
      </c>
      <c r="AA4" s="9" t="s">
        <v>49</v>
      </c>
    </row>
    <row r="5" spans="1:27" x14ac:dyDescent="0.2">
      <c r="W5" t="s">
        <v>5</v>
      </c>
      <c r="X5" t="s">
        <v>36</v>
      </c>
      <c r="Y5" t="s">
        <v>18</v>
      </c>
      <c r="Z5" s="3">
        <v>6111</v>
      </c>
      <c r="AA5" s="4">
        <v>3</v>
      </c>
    </row>
    <row r="6" spans="1:27" x14ac:dyDescent="0.2">
      <c r="W6" t="s">
        <v>41</v>
      </c>
      <c r="X6" t="s">
        <v>38</v>
      </c>
      <c r="Y6" t="s">
        <v>22</v>
      </c>
      <c r="Z6" s="3">
        <v>5915</v>
      </c>
      <c r="AA6" s="4">
        <v>3</v>
      </c>
    </row>
    <row r="7" spans="1:27" x14ac:dyDescent="0.2">
      <c r="W7" t="s">
        <v>2</v>
      </c>
      <c r="X7" t="s">
        <v>38</v>
      </c>
      <c r="Y7" t="s">
        <v>4</v>
      </c>
      <c r="Z7" s="3">
        <v>3549</v>
      </c>
      <c r="AA7" s="4">
        <v>3</v>
      </c>
    </row>
    <row r="8" spans="1:27" x14ac:dyDescent="0.2">
      <c r="W8" t="s">
        <v>6</v>
      </c>
      <c r="X8" t="s">
        <v>39</v>
      </c>
      <c r="Y8" t="s">
        <v>24</v>
      </c>
      <c r="Z8" s="3">
        <v>2989</v>
      </c>
      <c r="AA8" s="4">
        <v>3</v>
      </c>
    </row>
    <row r="9" spans="1:27" x14ac:dyDescent="0.2">
      <c r="W9" t="s">
        <v>7</v>
      </c>
      <c r="X9" t="s">
        <v>37</v>
      </c>
      <c r="Y9" t="s">
        <v>26</v>
      </c>
      <c r="Z9" s="3">
        <v>5306</v>
      </c>
      <c r="AA9" s="4">
        <v>0</v>
      </c>
    </row>
    <row r="10" spans="1:27" x14ac:dyDescent="0.2">
      <c r="W10" t="s">
        <v>6</v>
      </c>
      <c r="X10" t="s">
        <v>36</v>
      </c>
      <c r="Y10" t="s">
        <v>32</v>
      </c>
      <c r="Z10" s="3">
        <v>6118</v>
      </c>
      <c r="AA10" s="4">
        <v>9</v>
      </c>
    </row>
    <row r="11" spans="1:27" x14ac:dyDescent="0.2">
      <c r="W11" t="s">
        <v>10</v>
      </c>
      <c r="X11" t="s">
        <v>34</v>
      </c>
      <c r="Y11" t="s">
        <v>26</v>
      </c>
      <c r="Z11" s="3">
        <v>4991</v>
      </c>
      <c r="AA11" s="4">
        <v>9</v>
      </c>
    </row>
    <row r="12" spans="1:27" x14ac:dyDescent="0.2">
      <c r="W12" t="s">
        <v>41</v>
      </c>
      <c r="X12" t="s">
        <v>37</v>
      </c>
      <c r="Y12" t="s">
        <v>21</v>
      </c>
      <c r="Z12" s="3">
        <v>2933</v>
      </c>
      <c r="AA12" s="4">
        <v>9</v>
      </c>
    </row>
    <row r="13" spans="1:27" x14ac:dyDescent="0.2">
      <c r="W13" t="s">
        <v>5</v>
      </c>
      <c r="X13" t="s">
        <v>35</v>
      </c>
      <c r="Y13" t="s">
        <v>4</v>
      </c>
      <c r="Z13" s="3">
        <v>2744</v>
      </c>
      <c r="AA13" s="4">
        <v>9</v>
      </c>
    </row>
    <row r="14" spans="1:27" x14ac:dyDescent="0.2">
      <c r="W14" t="s">
        <v>9</v>
      </c>
      <c r="X14" t="s">
        <v>38</v>
      </c>
      <c r="Y14" t="s">
        <v>17</v>
      </c>
      <c r="Z14" s="3">
        <v>2408</v>
      </c>
      <c r="AA14" s="4">
        <v>9</v>
      </c>
    </row>
    <row r="15" spans="1:27" x14ac:dyDescent="0.2">
      <c r="W15" t="s">
        <v>6</v>
      </c>
      <c r="X15" t="s">
        <v>37</v>
      </c>
      <c r="Y15" t="s">
        <v>26</v>
      </c>
      <c r="Z15" s="3">
        <v>6818</v>
      </c>
      <c r="AA15" s="4">
        <v>6</v>
      </c>
    </row>
    <row r="16" spans="1:27" x14ac:dyDescent="0.2">
      <c r="W16" t="s">
        <v>10</v>
      </c>
      <c r="X16" t="s">
        <v>35</v>
      </c>
      <c r="Y16" t="s">
        <v>15</v>
      </c>
      <c r="Z16" s="3">
        <v>2562</v>
      </c>
      <c r="AA16" s="4">
        <v>6</v>
      </c>
    </row>
    <row r="17" spans="23:27" x14ac:dyDescent="0.2">
      <c r="W17" t="s">
        <v>6</v>
      </c>
      <c r="X17" t="s">
        <v>38</v>
      </c>
      <c r="Y17" t="s">
        <v>16</v>
      </c>
      <c r="Z17" s="3">
        <v>938</v>
      </c>
      <c r="AA17" s="4">
        <v>6</v>
      </c>
    </row>
    <row r="18" spans="23:27" x14ac:dyDescent="0.2">
      <c r="W18" t="s">
        <v>5</v>
      </c>
      <c r="X18" t="s">
        <v>34</v>
      </c>
      <c r="Y18" t="s">
        <v>20</v>
      </c>
      <c r="Z18" s="3">
        <v>15610</v>
      </c>
      <c r="AA18" s="4">
        <v>339</v>
      </c>
    </row>
    <row r="19" spans="23:27" x14ac:dyDescent="0.2">
      <c r="W19" t="s">
        <v>40</v>
      </c>
      <c r="X19" t="s">
        <v>35</v>
      </c>
      <c r="Y19" t="s">
        <v>32</v>
      </c>
      <c r="Z19" s="3">
        <v>12348</v>
      </c>
      <c r="AA19" s="4">
        <v>234</v>
      </c>
    </row>
    <row r="20" spans="23:27" x14ac:dyDescent="0.2">
      <c r="W20" t="s">
        <v>41</v>
      </c>
      <c r="X20" t="s">
        <v>36</v>
      </c>
      <c r="Y20" t="s">
        <v>13</v>
      </c>
      <c r="Z20" s="3">
        <v>10311</v>
      </c>
      <c r="AA20" s="4">
        <v>231</v>
      </c>
    </row>
    <row r="21" spans="23:27" x14ac:dyDescent="0.2">
      <c r="W21" t="s">
        <v>9</v>
      </c>
      <c r="X21" t="s">
        <v>36</v>
      </c>
      <c r="Y21" t="s">
        <v>27</v>
      </c>
      <c r="Z21" s="3">
        <v>11522</v>
      </c>
      <c r="AA21" s="4">
        <v>204</v>
      </c>
    </row>
    <row r="22" spans="23:27" x14ac:dyDescent="0.2">
      <c r="W22" t="s">
        <v>5</v>
      </c>
      <c r="X22" t="s">
        <v>35</v>
      </c>
      <c r="Y22" t="s">
        <v>15</v>
      </c>
      <c r="Z22" s="3">
        <v>13391</v>
      </c>
      <c r="AA22" s="4">
        <v>201</v>
      </c>
    </row>
    <row r="23" spans="23:27" x14ac:dyDescent="0.2">
      <c r="W23" t="s">
        <v>9</v>
      </c>
      <c r="X23" t="s">
        <v>34</v>
      </c>
      <c r="Y23" t="s">
        <v>28</v>
      </c>
      <c r="Z23" s="3">
        <v>14329</v>
      </c>
      <c r="AA23" s="4">
        <v>150</v>
      </c>
    </row>
    <row r="24" spans="23:27" x14ac:dyDescent="0.2">
      <c r="W24" t="s">
        <v>2</v>
      </c>
      <c r="X24" t="s">
        <v>37</v>
      </c>
      <c r="Y24" t="s">
        <v>18</v>
      </c>
      <c r="Z24" s="3">
        <v>11571</v>
      </c>
      <c r="AA24" s="4">
        <v>138</v>
      </c>
    </row>
    <row r="25" spans="23:27" x14ac:dyDescent="0.2">
      <c r="W25" t="s">
        <v>5</v>
      </c>
      <c r="X25" t="s">
        <v>36</v>
      </c>
      <c r="Y25" t="s">
        <v>16</v>
      </c>
      <c r="Z25" s="3">
        <v>16184</v>
      </c>
      <c r="AA25" s="4">
        <v>39</v>
      </c>
    </row>
    <row r="26" spans="23:27" x14ac:dyDescent="0.2">
      <c r="W26" t="s">
        <v>10</v>
      </c>
      <c r="X26" t="s">
        <v>39</v>
      </c>
      <c r="Y26" t="s">
        <v>33</v>
      </c>
      <c r="Z26" s="3">
        <v>12950</v>
      </c>
      <c r="AA26" s="4">
        <v>30</v>
      </c>
    </row>
    <row r="27" spans="23:27" x14ac:dyDescent="0.2">
      <c r="W27" t="s">
        <v>2</v>
      </c>
      <c r="X27" t="s">
        <v>36</v>
      </c>
      <c r="Y27" t="s">
        <v>16</v>
      </c>
      <c r="Z27" s="3">
        <v>11417</v>
      </c>
      <c r="AA27" s="4">
        <v>21</v>
      </c>
    </row>
    <row r="28" spans="23:27" x14ac:dyDescent="0.2">
      <c r="W28" t="s">
        <v>10</v>
      </c>
      <c r="X28" t="s">
        <v>38</v>
      </c>
      <c r="Y28" t="s">
        <v>14</v>
      </c>
      <c r="Z28" s="3">
        <v>5586</v>
      </c>
      <c r="AA28" s="4">
        <v>525</v>
      </c>
    </row>
    <row r="29" spans="23:27" x14ac:dyDescent="0.2">
      <c r="W29" t="s">
        <v>2</v>
      </c>
      <c r="X29" t="s">
        <v>36</v>
      </c>
      <c r="Y29" t="s">
        <v>27</v>
      </c>
      <c r="Z29" s="3">
        <v>798</v>
      </c>
      <c r="AA29" s="4">
        <v>519</v>
      </c>
    </row>
    <row r="30" spans="23:27" x14ac:dyDescent="0.2">
      <c r="W30" t="s">
        <v>8</v>
      </c>
      <c r="X30" t="s">
        <v>38</v>
      </c>
      <c r="Y30" t="s">
        <v>13</v>
      </c>
      <c r="Z30" s="3">
        <v>819</v>
      </c>
      <c r="AA30" s="4">
        <v>510</v>
      </c>
    </row>
    <row r="31" spans="23:27" x14ac:dyDescent="0.2">
      <c r="W31" t="s">
        <v>3</v>
      </c>
      <c r="X31" t="s">
        <v>34</v>
      </c>
      <c r="Y31" t="s">
        <v>32</v>
      </c>
      <c r="Z31" s="3">
        <v>7777</v>
      </c>
      <c r="AA31" s="4">
        <v>504</v>
      </c>
    </row>
    <row r="32" spans="23:27" x14ac:dyDescent="0.2">
      <c r="W32" t="s">
        <v>9</v>
      </c>
      <c r="X32" t="s">
        <v>34</v>
      </c>
      <c r="Y32" t="s">
        <v>20</v>
      </c>
      <c r="Z32" s="3">
        <v>8463</v>
      </c>
      <c r="AA32" s="4">
        <v>492</v>
      </c>
    </row>
    <row r="33" spans="23:27" x14ac:dyDescent="0.2">
      <c r="W33" t="s">
        <v>2</v>
      </c>
      <c r="X33" t="s">
        <v>39</v>
      </c>
      <c r="Y33" t="s">
        <v>25</v>
      </c>
      <c r="Z33" s="3">
        <v>1785</v>
      </c>
      <c r="AA33" s="4">
        <v>462</v>
      </c>
    </row>
    <row r="34" spans="23:27" x14ac:dyDescent="0.2">
      <c r="W34" t="s">
        <v>8</v>
      </c>
      <c r="X34" t="s">
        <v>35</v>
      </c>
      <c r="Y34" t="s">
        <v>32</v>
      </c>
      <c r="Z34" s="3">
        <v>6706</v>
      </c>
      <c r="AA34" s="4">
        <v>459</v>
      </c>
    </row>
    <row r="35" spans="23:27" x14ac:dyDescent="0.2">
      <c r="W35" t="s">
        <v>6</v>
      </c>
      <c r="X35" t="s">
        <v>37</v>
      </c>
      <c r="Y35" t="s">
        <v>28</v>
      </c>
      <c r="Z35" s="3">
        <v>3556</v>
      </c>
      <c r="AA35" s="4">
        <v>459</v>
      </c>
    </row>
    <row r="36" spans="23:27" x14ac:dyDescent="0.2">
      <c r="W36" t="s">
        <v>6</v>
      </c>
      <c r="X36" t="s">
        <v>34</v>
      </c>
      <c r="Y36" t="s">
        <v>26</v>
      </c>
      <c r="Z36" s="3">
        <v>8008</v>
      </c>
      <c r="AA36" s="4">
        <v>456</v>
      </c>
    </row>
    <row r="37" spans="23:27" x14ac:dyDescent="0.2">
      <c r="W37" t="s">
        <v>40</v>
      </c>
      <c r="X37" t="s">
        <v>35</v>
      </c>
      <c r="Y37" t="s">
        <v>30</v>
      </c>
      <c r="Z37" s="3">
        <v>2275</v>
      </c>
      <c r="AA37" s="4">
        <v>447</v>
      </c>
    </row>
    <row r="38" spans="23:27" x14ac:dyDescent="0.2">
      <c r="W38" t="s">
        <v>40</v>
      </c>
      <c r="X38" t="s">
        <v>35</v>
      </c>
      <c r="Y38" t="s">
        <v>33</v>
      </c>
      <c r="Z38" s="3">
        <v>8869</v>
      </c>
      <c r="AA38" s="4">
        <v>432</v>
      </c>
    </row>
    <row r="39" spans="23:27" x14ac:dyDescent="0.2">
      <c r="W39" t="s">
        <v>6</v>
      </c>
      <c r="X39" t="s">
        <v>39</v>
      </c>
      <c r="Y39" t="s">
        <v>25</v>
      </c>
      <c r="Z39" s="3">
        <v>2100</v>
      </c>
      <c r="AA39" s="4">
        <v>414</v>
      </c>
    </row>
    <row r="40" spans="23:27" x14ac:dyDescent="0.2">
      <c r="W40" t="s">
        <v>6</v>
      </c>
      <c r="X40" t="s">
        <v>37</v>
      </c>
      <c r="Y40" t="s">
        <v>16</v>
      </c>
      <c r="Z40" s="3">
        <v>1904</v>
      </c>
      <c r="AA40" s="4">
        <v>405</v>
      </c>
    </row>
    <row r="41" spans="23:27" x14ac:dyDescent="0.2">
      <c r="W41" t="s">
        <v>6</v>
      </c>
      <c r="X41" t="s">
        <v>35</v>
      </c>
      <c r="Y41" t="s">
        <v>4</v>
      </c>
      <c r="Z41" s="3">
        <v>1302</v>
      </c>
      <c r="AA41" s="4">
        <v>402</v>
      </c>
    </row>
    <row r="42" spans="23:27" x14ac:dyDescent="0.2">
      <c r="W42" t="s">
        <v>6</v>
      </c>
      <c r="X42" t="s">
        <v>39</v>
      </c>
      <c r="Y42" t="s">
        <v>29</v>
      </c>
      <c r="Z42" s="3">
        <v>3052</v>
      </c>
      <c r="AA42" s="4">
        <v>378</v>
      </c>
    </row>
    <row r="43" spans="23:27" x14ac:dyDescent="0.2">
      <c r="W43" t="s">
        <v>40</v>
      </c>
      <c r="X43" t="s">
        <v>35</v>
      </c>
      <c r="Y43" t="s">
        <v>22</v>
      </c>
      <c r="Z43" s="3">
        <v>6853</v>
      </c>
      <c r="AA43" s="4">
        <v>372</v>
      </c>
    </row>
    <row r="44" spans="23:27" x14ac:dyDescent="0.2">
      <c r="W44" t="s">
        <v>7</v>
      </c>
      <c r="X44" t="s">
        <v>34</v>
      </c>
      <c r="Y44" t="s">
        <v>14</v>
      </c>
      <c r="Z44" s="3">
        <v>1932</v>
      </c>
      <c r="AA44" s="4">
        <v>369</v>
      </c>
    </row>
    <row r="45" spans="23:27" x14ac:dyDescent="0.2">
      <c r="W45" t="s">
        <v>6</v>
      </c>
      <c r="X45" t="s">
        <v>34</v>
      </c>
      <c r="Y45" t="s">
        <v>30</v>
      </c>
      <c r="Z45" s="3">
        <v>3402</v>
      </c>
      <c r="AA45" s="4">
        <v>366</v>
      </c>
    </row>
    <row r="46" spans="23:27" x14ac:dyDescent="0.2">
      <c r="W46" t="s">
        <v>3</v>
      </c>
      <c r="X46" t="s">
        <v>37</v>
      </c>
      <c r="Y46" t="s">
        <v>4</v>
      </c>
      <c r="Z46" s="3">
        <v>938</v>
      </c>
      <c r="AA46" s="4">
        <v>366</v>
      </c>
    </row>
    <row r="47" spans="23:27" x14ac:dyDescent="0.2">
      <c r="W47" t="s">
        <v>8</v>
      </c>
      <c r="X47" t="s">
        <v>35</v>
      </c>
      <c r="Y47" t="s">
        <v>20</v>
      </c>
      <c r="Z47" s="3">
        <v>2702</v>
      </c>
      <c r="AA47" s="4">
        <v>363</v>
      </c>
    </row>
    <row r="48" spans="23:27" x14ac:dyDescent="0.2">
      <c r="W48" t="s">
        <v>5</v>
      </c>
      <c r="X48" t="s">
        <v>35</v>
      </c>
      <c r="Y48" t="s">
        <v>29</v>
      </c>
      <c r="Z48" s="3">
        <v>4480</v>
      </c>
      <c r="AA48" s="4">
        <v>357</v>
      </c>
    </row>
    <row r="49" spans="23:27" x14ac:dyDescent="0.2">
      <c r="W49" t="s">
        <v>2</v>
      </c>
      <c r="X49" t="s">
        <v>38</v>
      </c>
      <c r="Y49" t="s">
        <v>31</v>
      </c>
      <c r="Z49" s="3">
        <v>4326</v>
      </c>
      <c r="AA49" s="4">
        <v>348</v>
      </c>
    </row>
    <row r="50" spans="23:27" x14ac:dyDescent="0.2">
      <c r="W50" t="s">
        <v>5</v>
      </c>
      <c r="X50" t="s">
        <v>36</v>
      </c>
      <c r="Y50" t="s">
        <v>17</v>
      </c>
      <c r="Z50" s="3">
        <v>3339</v>
      </c>
      <c r="AA50" s="4">
        <v>348</v>
      </c>
    </row>
    <row r="51" spans="23:27" x14ac:dyDescent="0.2">
      <c r="W51" t="s">
        <v>10</v>
      </c>
      <c r="X51" t="s">
        <v>36</v>
      </c>
      <c r="Y51" t="s">
        <v>29</v>
      </c>
      <c r="Z51" s="3">
        <v>2471</v>
      </c>
      <c r="AA51" s="4">
        <v>342</v>
      </c>
    </row>
    <row r="52" spans="23:27" x14ac:dyDescent="0.2">
      <c r="W52" t="s">
        <v>7</v>
      </c>
      <c r="X52" t="s">
        <v>37</v>
      </c>
      <c r="Y52" t="s">
        <v>16</v>
      </c>
      <c r="Z52" s="3">
        <v>4487</v>
      </c>
      <c r="AA52" s="4">
        <v>333</v>
      </c>
    </row>
    <row r="53" spans="23:27" x14ac:dyDescent="0.2">
      <c r="W53" t="s">
        <v>3</v>
      </c>
      <c r="X53" t="s">
        <v>37</v>
      </c>
      <c r="Y53" t="s">
        <v>28</v>
      </c>
      <c r="Z53" s="3">
        <v>7308</v>
      </c>
      <c r="AA53" s="4">
        <v>327</v>
      </c>
    </row>
    <row r="54" spans="23:27" x14ac:dyDescent="0.2">
      <c r="W54" t="s">
        <v>3</v>
      </c>
      <c r="X54" t="s">
        <v>37</v>
      </c>
      <c r="Y54" t="s">
        <v>29</v>
      </c>
      <c r="Z54" s="3">
        <v>4592</v>
      </c>
      <c r="AA54" s="4">
        <v>324</v>
      </c>
    </row>
    <row r="55" spans="23:27" x14ac:dyDescent="0.2">
      <c r="W55" t="s">
        <v>7</v>
      </c>
      <c r="X55" t="s">
        <v>38</v>
      </c>
      <c r="Y55" t="s">
        <v>30</v>
      </c>
      <c r="Z55" s="3">
        <v>10129</v>
      </c>
      <c r="AA55" s="4">
        <v>312</v>
      </c>
    </row>
    <row r="56" spans="23:27" x14ac:dyDescent="0.2">
      <c r="W56" t="s">
        <v>3</v>
      </c>
      <c r="X56" t="s">
        <v>34</v>
      </c>
      <c r="Y56" t="s">
        <v>28</v>
      </c>
      <c r="Z56" s="3">
        <v>3689</v>
      </c>
      <c r="AA56" s="4">
        <v>312</v>
      </c>
    </row>
    <row r="57" spans="23:27" x14ac:dyDescent="0.2">
      <c r="W57" t="s">
        <v>41</v>
      </c>
      <c r="X57" t="s">
        <v>36</v>
      </c>
      <c r="Y57" t="s">
        <v>28</v>
      </c>
      <c r="Z57" s="3">
        <v>854</v>
      </c>
      <c r="AA57" s="4">
        <v>309</v>
      </c>
    </row>
    <row r="58" spans="23:27" x14ac:dyDescent="0.2">
      <c r="W58" t="s">
        <v>9</v>
      </c>
      <c r="X58" t="s">
        <v>39</v>
      </c>
      <c r="Y58" t="s">
        <v>24</v>
      </c>
      <c r="Z58" s="3">
        <v>3920</v>
      </c>
      <c r="AA58" s="4">
        <v>306</v>
      </c>
    </row>
    <row r="59" spans="23:27" x14ac:dyDescent="0.2">
      <c r="W59" t="s">
        <v>40</v>
      </c>
      <c r="X59" t="s">
        <v>36</v>
      </c>
      <c r="Y59" t="s">
        <v>27</v>
      </c>
      <c r="Z59" s="3">
        <v>3164</v>
      </c>
      <c r="AA59" s="4">
        <v>306</v>
      </c>
    </row>
    <row r="60" spans="23:27" x14ac:dyDescent="0.2">
      <c r="W60" t="s">
        <v>3</v>
      </c>
      <c r="X60" t="s">
        <v>35</v>
      </c>
      <c r="Y60" t="s">
        <v>33</v>
      </c>
      <c r="Z60" s="3">
        <v>819</v>
      </c>
      <c r="AA60" s="4">
        <v>306</v>
      </c>
    </row>
    <row r="61" spans="23:27" x14ac:dyDescent="0.2">
      <c r="W61" t="s">
        <v>3</v>
      </c>
      <c r="X61" t="s">
        <v>38</v>
      </c>
      <c r="Y61" t="s">
        <v>26</v>
      </c>
      <c r="Z61" s="3">
        <v>8841</v>
      </c>
      <c r="AA61" s="4">
        <v>303</v>
      </c>
    </row>
    <row r="62" spans="23:27" x14ac:dyDescent="0.2">
      <c r="W62" t="s">
        <v>10</v>
      </c>
      <c r="X62" t="s">
        <v>36</v>
      </c>
      <c r="Y62" t="s">
        <v>32</v>
      </c>
      <c r="Z62" s="3">
        <v>6657</v>
      </c>
      <c r="AA62" s="4">
        <v>303</v>
      </c>
    </row>
    <row r="63" spans="23:27" x14ac:dyDescent="0.2">
      <c r="W63" t="s">
        <v>2</v>
      </c>
      <c r="X63" t="s">
        <v>35</v>
      </c>
      <c r="Y63" t="s">
        <v>17</v>
      </c>
      <c r="Z63" s="3">
        <v>1589</v>
      </c>
      <c r="AA63" s="4">
        <v>303</v>
      </c>
    </row>
    <row r="64" spans="23:27" x14ac:dyDescent="0.2">
      <c r="W64" t="s">
        <v>8</v>
      </c>
      <c r="X64" t="s">
        <v>35</v>
      </c>
      <c r="Y64" t="s">
        <v>27</v>
      </c>
      <c r="Z64" s="3">
        <v>4753</v>
      </c>
      <c r="AA64" s="4">
        <v>300</v>
      </c>
    </row>
    <row r="65" spans="23:27" x14ac:dyDescent="0.2">
      <c r="W65" t="s">
        <v>7</v>
      </c>
      <c r="X65" t="s">
        <v>36</v>
      </c>
      <c r="Y65" t="s">
        <v>19</v>
      </c>
      <c r="Z65" s="3">
        <v>2870</v>
      </c>
      <c r="AA65" s="4">
        <v>300</v>
      </c>
    </row>
    <row r="66" spans="23:27" x14ac:dyDescent="0.2">
      <c r="W66" t="s">
        <v>40</v>
      </c>
      <c r="X66" t="s">
        <v>38</v>
      </c>
      <c r="Y66" t="s">
        <v>13</v>
      </c>
      <c r="Z66" s="3">
        <v>5670</v>
      </c>
      <c r="AA66" s="4">
        <v>297</v>
      </c>
    </row>
    <row r="67" spans="23:27" x14ac:dyDescent="0.2">
      <c r="W67" t="s">
        <v>41</v>
      </c>
      <c r="X67" t="s">
        <v>36</v>
      </c>
      <c r="Y67" t="s">
        <v>18</v>
      </c>
      <c r="Z67" s="3">
        <v>9632</v>
      </c>
      <c r="AA67" s="4">
        <v>288</v>
      </c>
    </row>
    <row r="68" spans="23:27" x14ac:dyDescent="0.2">
      <c r="W68" t="s">
        <v>7</v>
      </c>
      <c r="X68" t="s">
        <v>35</v>
      </c>
      <c r="Y68" t="s">
        <v>28</v>
      </c>
      <c r="Z68" s="3">
        <v>5194</v>
      </c>
      <c r="AA68" s="4">
        <v>288</v>
      </c>
    </row>
    <row r="69" spans="23:27" x14ac:dyDescent="0.2">
      <c r="W69" t="s">
        <v>8</v>
      </c>
      <c r="X69" t="s">
        <v>34</v>
      </c>
      <c r="Y69" t="s">
        <v>31</v>
      </c>
      <c r="Z69" s="3">
        <v>3507</v>
      </c>
      <c r="AA69" s="4">
        <v>288</v>
      </c>
    </row>
    <row r="70" spans="23:27" x14ac:dyDescent="0.2">
      <c r="W70" t="s">
        <v>10</v>
      </c>
      <c r="X70" t="s">
        <v>37</v>
      </c>
      <c r="Y70" t="s">
        <v>21</v>
      </c>
      <c r="Z70" s="3">
        <v>245</v>
      </c>
      <c r="AA70" s="4">
        <v>288</v>
      </c>
    </row>
    <row r="71" spans="23:27" x14ac:dyDescent="0.2">
      <c r="W71" t="s">
        <v>6</v>
      </c>
      <c r="X71" t="s">
        <v>38</v>
      </c>
      <c r="Y71" t="s">
        <v>27</v>
      </c>
      <c r="Z71" s="3">
        <v>1134</v>
      </c>
      <c r="AA71" s="4">
        <v>282</v>
      </c>
    </row>
    <row r="72" spans="23:27" x14ac:dyDescent="0.2">
      <c r="W72" t="s">
        <v>10</v>
      </c>
      <c r="X72" t="s">
        <v>39</v>
      </c>
      <c r="Y72" t="s">
        <v>21</v>
      </c>
      <c r="Z72" s="3">
        <v>4858</v>
      </c>
      <c r="AA72" s="4">
        <v>279</v>
      </c>
    </row>
    <row r="73" spans="23:27" x14ac:dyDescent="0.2">
      <c r="W73" t="s">
        <v>10</v>
      </c>
      <c r="X73" t="s">
        <v>35</v>
      </c>
      <c r="Y73" t="s">
        <v>18</v>
      </c>
      <c r="Z73" s="3">
        <v>3808</v>
      </c>
      <c r="AA73" s="4">
        <v>279</v>
      </c>
    </row>
    <row r="74" spans="23:27" x14ac:dyDescent="0.2">
      <c r="W74" t="s">
        <v>3</v>
      </c>
      <c r="X74" t="s">
        <v>34</v>
      </c>
      <c r="Y74" t="s">
        <v>14</v>
      </c>
      <c r="Z74" s="3">
        <v>7259</v>
      </c>
      <c r="AA74" s="4">
        <v>276</v>
      </c>
    </row>
    <row r="75" spans="23:27" x14ac:dyDescent="0.2">
      <c r="W75" t="s">
        <v>3</v>
      </c>
      <c r="X75" t="s">
        <v>35</v>
      </c>
      <c r="Y75" t="s">
        <v>15</v>
      </c>
      <c r="Z75" s="3">
        <v>6657</v>
      </c>
      <c r="AA75" s="4">
        <v>276</v>
      </c>
    </row>
    <row r="76" spans="23:27" x14ac:dyDescent="0.2">
      <c r="W76" t="s">
        <v>9</v>
      </c>
      <c r="X76" t="s">
        <v>37</v>
      </c>
      <c r="Y76" t="s">
        <v>29</v>
      </c>
      <c r="Z76" s="3">
        <v>1085</v>
      </c>
      <c r="AA76" s="4">
        <v>273</v>
      </c>
    </row>
    <row r="77" spans="23:27" x14ac:dyDescent="0.2">
      <c r="W77" t="s">
        <v>7</v>
      </c>
      <c r="X77" t="s">
        <v>38</v>
      </c>
      <c r="Y77" t="s">
        <v>18</v>
      </c>
      <c r="Z77" s="3">
        <v>1778</v>
      </c>
      <c r="AA77" s="4">
        <v>270</v>
      </c>
    </row>
    <row r="78" spans="23:27" x14ac:dyDescent="0.2">
      <c r="W78" t="s">
        <v>6</v>
      </c>
      <c r="X78" t="s">
        <v>35</v>
      </c>
      <c r="Y78" t="s">
        <v>20</v>
      </c>
      <c r="Z78" s="3">
        <v>1071</v>
      </c>
      <c r="AA78" s="4">
        <v>270</v>
      </c>
    </row>
    <row r="79" spans="23:27" x14ac:dyDescent="0.2">
      <c r="W79" t="s">
        <v>10</v>
      </c>
      <c r="X79" t="s">
        <v>36</v>
      </c>
      <c r="Y79" t="s">
        <v>23</v>
      </c>
      <c r="Z79" s="3">
        <v>2317</v>
      </c>
      <c r="AA79" s="4">
        <v>261</v>
      </c>
    </row>
    <row r="80" spans="23:27" x14ac:dyDescent="0.2">
      <c r="W80" t="s">
        <v>7</v>
      </c>
      <c r="X80" t="s">
        <v>38</v>
      </c>
      <c r="Y80" t="s">
        <v>28</v>
      </c>
      <c r="Z80" s="3">
        <v>5677</v>
      </c>
      <c r="AA80" s="4">
        <v>258</v>
      </c>
    </row>
    <row r="81" spans="23:27" x14ac:dyDescent="0.2">
      <c r="W81" t="s">
        <v>3</v>
      </c>
      <c r="X81" t="s">
        <v>35</v>
      </c>
      <c r="Y81" t="s">
        <v>14</v>
      </c>
      <c r="Z81" s="3">
        <v>2415</v>
      </c>
      <c r="AA81" s="4">
        <v>255</v>
      </c>
    </row>
    <row r="82" spans="23:27" x14ac:dyDescent="0.2">
      <c r="W82" t="s">
        <v>7</v>
      </c>
      <c r="X82" t="s">
        <v>35</v>
      </c>
      <c r="Y82" t="s">
        <v>30</v>
      </c>
      <c r="Z82" s="3">
        <v>6755</v>
      </c>
      <c r="AA82" s="4">
        <v>252</v>
      </c>
    </row>
    <row r="83" spans="23:27" x14ac:dyDescent="0.2">
      <c r="W83" t="s">
        <v>7</v>
      </c>
      <c r="X83" t="s">
        <v>36</v>
      </c>
      <c r="Y83" t="s">
        <v>29</v>
      </c>
      <c r="Z83" s="3">
        <v>5551</v>
      </c>
      <c r="AA83" s="4">
        <v>252</v>
      </c>
    </row>
    <row r="84" spans="23:27" x14ac:dyDescent="0.2">
      <c r="W84" t="s">
        <v>5</v>
      </c>
      <c r="X84" t="s">
        <v>39</v>
      </c>
      <c r="Y84" t="s">
        <v>18</v>
      </c>
      <c r="Z84" s="3">
        <v>385</v>
      </c>
      <c r="AA84" s="4">
        <v>249</v>
      </c>
    </row>
    <row r="85" spans="23:27" x14ac:dyDescent="0.2">
      <c r="W85" t="s">
        <v>5</v>
      </c>
      <c r="X85" t="s">
        <v>35</v>
      </c>
      <c r="Y85" t="s">
        <v>31</v>
      </c>
      <c r="Z85" s="3">
        <v>4753</v>
      </c>
      <c r="AA85" s="4">
        <v>246</v>
      </c>
    </row>
    <row r="86" spans="23:27" x14ac:dyDescent="0.2">
      <c r="W86" t="s">
        <v>7</v>
      </c>
      <c r="X86" t="s">
        <v>39</v>
      </c>
      <c r="Y86" t="s">
        <v>17</v>
      </c>
      <c r="Z86" s="3">
        <v>4438</v>
      </c>
      <c r="AA86" s="4">
        <v>246</v>
      </c>
    </row>
    <row r="87" spans="23:27" x14ac:dyDescent="0.2">
      <c r="W87" t="s">
        <v>2</v>
      </c>
      <c r="X87" t="s">
        <v>36</v>
      </c>
      <c r="Y87" t="s">
        <v>31</v>
      </c>
      <c r="Z87" s="3">
        <v>3094</v>
      </c>
      <c r="AA87" s="4">
        <v>246</v>
      </c>
    </row>
    <row r="88" spans="23:27" x14ac:dyDescent="0.2">
      <c r="W88" t="s">
        <v>9</v>
      </c>
      <c r="X88" t="s">
        <v>37</v>
      </c>
      <c r="Y88" t="s">
        <v>26</v>
      </c>
      <c r="Z88" s="3">
        <v>2856</v>
      </c>
      <c r="AA88" s="4">
        <v>246</v>
      </c>
    </row>
    <row r="89" spans="23:27" x14ac:dyDescent="0.2">
      <c r="W89" t="s">
        <v>9</v>
      </c>
      <c r="X89" t="s">
        <v>35</v>
      </c>
      <c r="Y89" t="s">
        <v>15</v>
      </c>
      <c r="Z89" s="3">
        <v>7833</v>
      </c>
      <c r="AA89" s="4">
        <v>243</v>
      </c>
    </row>
    <row r="90" spans="23:27" x14ac:dyDescent="0.2">
      <c r="W90" t="s">
        <v>7</v>
      </c>
      <c r="X90" t="s">
        <v>35</v>
      </c>
      <c r="Y90" t="s">
        <v>19</v>
      </c>
      <c r="Z90" s="3">
        <v>4585</v>
      </c>
      <c r="AA90" s="4">
        <v>240</v>
      </c>
    </row>
    <row r="91" spans="23:27" x14ac:dyDescent="0.2">
      <c r="W91" t="s">
        <v>41</v>
      </c>
      <c r="X91" t="s">
        <v>37</v>
      </c>
      <c r="Y91" t="s">
        <v>30</v>
      </c>
      <c r="Z91" s="3">
        <v>1526</v>
      </c>
      <c r="AA91" s="4">
        <v>240</v>
      </c>
    </row>
    <row r="92" spans="23:27" x14ac:dyDescent="0.2">
      <c r="W92" t="s">
        <v>5</v>
      </c>
      <c r="X92" t="s">
        <v>34</v>
      </c>
      <c r="Y92" t="s">
        <v>22</v>
      </c>
      <c r="Z92" s="3">
        <v>6279</v>
      </c>
      <c r="AA92" s="4">
        <v>237</v>
      </c>
    </row>
    <row r="93" spans="23:27" x14ac:dyDescent="0.2">
      <c r="W93" t="s">
        <v>3</v>
      </c>
      <c r="X93" t="s">
        <v>35</v>
      </c>
      <c r="Y93" t="s">
        <v>25</v>
      </c>
      <c r="Z93" s="3">
        <v>2464</v>
      </c>
      <c r="AA93" s="4">
        <v>234</v>
      </c>
    </row>
    <row r="94" spans="23:27" x14ac:dyDescent="0.2">
      <c r="W94" t="s">
        <v>8</v>
      </c>
      <c r="X94" t="s">
        <v>38</v>
      </c>
      <c r="Y94" t="s">
        <v>23</v>
      </c>
      <c r="Z94" s="3">
        <v>1701</v>
      </c>
      <c r="AA94" s="4">
        <v>234</v>
      </c>
    </row>
    <row r="95" spans="23:27" x14ac:dyDescent="0.2">
      <c r="W95" t="s">
        <v>41</v>
      </c>
      <c r="X95" t="s">
        <v>37</v>
      </c>
      <c r="Y95" t="s">
        <v>15</v>
      </c>
      <c r="Z95" s="3">
        <v>714</v>
      </c>
      <c r="AA95" s="4">
        <v>231</v>
      </c>
    </row>
    <row r="96" spans="23:27" x14ac:dyDescent="0.2">
      <c r="W96" t="s">
        <v>10</v>
      </c>
      <c r="X96" t="s">
        <v>35</v>
      </c>
      <c r="Y96" t="s">
        <v>21</v>
      </c>
      <c r="Z96" s="3">
        <v>567</v>
      </c>
      <c r="AA96" s="4">
        <v>228</v>
      </c>
    </row>
    <row r="97" spans="23:27" x14ac:dyDescent="0.2">
      <c r="W97" t="s">
        <v>7</v>
      </c>
      <c r="X97" t="s">
        <v>37</v>
      </c>
      <c r="Y97" t="s">
        <v>14</v>
      </c>
      <c r="Z97" s="3">
        <v>6608</v>
      </c>
      <c r="AA97" s="4">
        <v>225</v>
      </c>
    </row>
    <row r="98" spans="23:27" x14ac:dyDescent="0.2">
      <c r="W98" t="s">
        <v>40</v>
      </c>
      <c r="X98" t="s">
        <v>39</v>
      </c>
      <c r="Y98" t="s">
        <v>28</v>
      </c>
      <c r="Z98" s="3">
        <v>3101</v>
      </c>
      <c r="AA98" s="4">
        <v>225</v>
      </c>
    </row>
    <row r="99" spans="23:27" x14ac:dyDescent="0.2">
      <c r="W99" t="s">
        <v>41</v>
      </c>
      <c r="X99" t="s">
        <v>34</v>
      </c>
      <c r="Y99" t="s">
        <v>16</v>
      </c>
      <c r="Z99" s="3">
        <v>1274</v>
      </c>
      <c r="AA99" s="4">
        <v>225</v>
      </c>
    </row>
    <row r="100" spans="23:27" x14ac:dyDescent="0.2">
      <c r="W100" t="s">
        <v>8</v>
      </c>
      <c r="X100" t="s">
        <v>34</v>
      </c>
      <c r="Y100" t="s">
        <v>16</v>
      </c>
      <c r="Z100" s="3">
        <v>2009</v>
      </c>
      <c r="AA100" s="4">
        <v>219</v>
      </c>
    </row>
    <row r="101" spans="23:27" x14ac:dyDescent="0.2">
      <c r="W101" t="s">
        <v>41</v>
      </c>
      <c r="X101" t="s">
        <v>35</v>
      </c>
      <c r="Y101" t="s">
        <v>28</v>
      </c>
      <c r="Z101" s="3">
        <v>7455</v>
      </c>
      <c r="AA101" s="4">
        <v>216</v>
      </c>
    </row>
    <row r="102" spans="23:27" x14ac:dyDescent="0.2">
      <c r="W102" t="s">
        <v>2</v>
      </c>
      <c r="X102" t="s">
        <v>39</v>
      </c>
      <c r="Y102" t="s">
        <v>21</v>
      </c>
      <c r="Z102" s="3">
        <v>7651</v>
      </c>
      <c r="AA102" s="4">
        <v>213</v>
      </c>
    </row>
    <row r="103" spans="23:27" x14ac:dyDescent="0.2">
      <c r="W103" t="s">
        <v>8</v>
      </c>
      <c r="X103" t="s">
        <v>38</v>
      </c>
      <c r="Y103" t="s">
        <v>32</v>
      </c>
      <c r="Z103" s="3">
        <v>3752</v>
      </c>
      <c r="AA103" s="4">
        <v>213</v>
      </c>
    </row>
    <row r="104" spans="23:27" x14ac:dyDescent="0.2">
      <c r="W104" t="s">
        <v>8</v>
      </c>
      <c r="X104" t="s">
        <v>39</v>
      </c>
      <c r="Y104" t="s">
        <v>31</v>
      </c>
      <c r="Z104" s="3">
        <v>8890</v>
      </c>
      <c r="AA104" s="4">
        <v>210</v>
      </c>
    </row>
    <row r="105" spans="23:27" x14ac:dyDescent="0.2">
      <c r="W105" t="s">
        <v>8</v>
      </c>
      <c r="X105" t="s">
        <v>35</v>
      </c>
      <c r="Y105" t="s">
        <v>22</v>
      </c>
      <c r="Z105" s="3">
        <v>5012</v>
      </c>
      <c r="AA105" s="4">
        <v>210</v>
      </c>
    </row>
    <row r="106" spans="23:27" x14ac:dyDescent="0.2">
      <c r="W106" t="s">
        <v>7</v>
      </c>
      <c r="X106" t="s">
        <v>37</v>
      </c>
      <c r="Y106" t="s">
        <v>22</v>
      </c>
      <c r="Z106" s="3">
        <v>9835</v>
      </c>
      <c r="AA106" s="4">
        <v>207</v>
      </c>
    </row>
    <row r="107" spans="23:27" x14ac:dyDescent="0.2">
      <c r="W107" t="s">
        <v>6</v>
      </c>
      <c r="X107" t="s">
        <v>34</v>
      </c>
      <c r="Y107" t="s">
        <v>27</v>
      </c>
      <c r="Z107" s="3">
        <v>4242</v>
      </c>
      <c r="AA107" s="4">
        <v>207</v>
      </c>
    </row>
    <row r="108" spans="23:27" x14ac:dyDescent="0.2">
      <c r="W108" t="s">
        <v>9</v>
      </c>
      <c r="X108" t="s">
        <v>37</v>
      </c>
      <c r="Y108" t="s">
        <v>4</v>
      </c>
      <c r="Z108" s="3">
        <v>259</v>
      </c>
      <c r="AA108" s="4">
        <v>207</v>
      </c>
    </row>
    <row r="109" spans="23:27" x14ac:dyDescent="0.2">
      <c r="W109" t="s">
        <v>10</v>
      </c>
      <c r="X109" t="s">
        <v>34</v>
      </c>
      <c r="Y109" t="s">
        <v>19</v>
      </c>
      <c r="Z109" s="3">
        <v>5355</v>
      </c>
      <c r="AA109" s="4">
        <v>204</v>
      </c>
    </row>
    <row r="110" spans="23:27" x14ac:dyDescent="0.2">
      <c r="W110" t="s">
        <v>9</v>
      </c>
      <c r="X110" t="s">
        <v>39</v>
      </c>
      <c r="Y110" t="s">
        <v>18</v>
      </c>
      <c r="Z110" s="3">
        <v>2639</v>
      </c>
      <c r="AA110" s="4">
        <v>204</v>
      </c>
    </row>
    <row r="111" spans="23:27" x14ac:dyDescent="0.2">
      <c r="W111" t="s">
        <v>8</v>
      </c>
      <c r="X111" t="s">
        <v>37</v>
      </c>
      <c r="Y111" t="s">
        <v>19</v>
      </c>
      <c r="Z111" s="3">
        <v>1771</v>
      </c>
      <c r="AA111" s="4">
        <v>204</v>
      </c>
    </row>
    <row r="112" spans="23:27" x14ac:dyDescent="0.2">
      <c r="W112" t="s">
        <v>41</v>
      </c>
      <c r="X112" t="s">
        <v>36</v>
      </c>
      <c r="Y112" t="s">
        <v>26</v>
      </c>
      <c r="Z112" s="3">
        <v>98</v>
      </c>
      <c r="AA112" s="4">
        <v>204</v>
      </c>
    </row>
    <row r="113" spans="23:27" x14ac:dyDescent="0.2">
      <c r="W113" t="s">
        <v>2</v>
      </c>
      <c r="X113" t="s">
        <v>37</v>
      </c>
      <c r="Y113" t="s">
        <v>17</v>
      </c>
      <c r="Z113" s="3">
        <v>9926</v>
      </c>
      <c r="AA113" s="4">
        <v>201</v>
      </c>
    </row>
    <row r="114" spans="23:27" x14ac:dyDescent="0.2">
      <c r="W114" t="s">
        <v>5</v>
      </c>
      <c r="X114" t="s">
        <v>34</v>
      </c>
      <c r="Y114" t="s">
        <v>15</v>
      </c>
      <c r="Z114" s="3">
        <v>7280</v>
      </c>
      <c r="AA114" s="4">
        <v>201</v>
      </c>
    </row>
    <row r="115" spans="23:27" x14ac:dyDescent="0.2">
      <c r="W115" t="s">
        <v>40</v>
      </c>
      <c r="X115" t="s">
        <v>36</v>
      </c>
      <c r="Y115" t="s">
        <v>13</v>
      </c>
      <c r="Z115" s="3">
        <v>4424</v>
      </c>
      <c r="AA115" s="4">
        <v>201</v>
      </c>
    </row>
    <row r="116" spans="23:27" x14ac:dyDescent="0.2">
      <c r="W116" t="s">
        <v>7</v>
      </c>
      <c r="X116" t="s">
        <v>39</v>
      </c>
      <c r="Y116" t="s">
        <v>27</v>
      </c>
      <c r="Z116" s="3">
        <v>966</v>
      </c>
      <c r="AA116" s="4">
        <v>198</v>
      </c>
    </row>
    <row r="117" spans="23:27" x14ac:dyDescent="0.2">
      <c r="W117" t="s">
        <v>10</v>
      </c>
      <c r="X117" t="s">
        <v>35</v>
      </c>
      <c r="Y117" t="s">
        <v>20</v>
      </c>
      <c r="Z117" s="3">
        <v>1974</v>
      </c>
      <c r="AA117" s="4">
        <v>195</v>
      </c>
    </row>
    <row r="118" spans="23:27" x14ac:dyDescent="0.2">
      <c r="W118" t="s">
        <v>8</v>
      </c>
      <c r="X118" t="s">
        <v>37</v>
      </c>
      <c r="Y118" t="s">
        <v>22</v>
      </c>
      <c r="Z118" s="3">
        <v>1890</v>
      </c>
      <c r="AA118" s="4">
        <v>195</v>
      </c>
    </row>
    <row r="119" spans="23:27" x14ac:dyDescent="0.2">
      <c r="W119" t="s">
        <v>5</v>
      </c>
      <c r="X119" t="s">
        <v>34</v>
      </c>
      <c r="Y119" t="s">
        <v>19</v>
      </c>
      <c r="Z119" s="3">
        <v>861</v>
      </c>
      <c r="AA119" s="4">
        <v>195</v>
      </c>
    </row>
    <row r="120" spans="23:27" x14ac:dyDescent="0.2">
      <c r="W120" t="s">
        <v>41</v>
      </c>
      <c r="X120" t="s">
        <v>36</v>
      </c>
      <c r="Y120" t="s">
        <v>19</v>
      </c>
      <c r="Z120" s="3">
        <v>1925</v>
      </c>
      <c r="AA120" s="4">
        <v>192</v>
      </c>
    </row>
    <row r="121" spans="23:27" x14ac:dyDescent="0.2">
      <c r="W121" t="s">
        <v>7</v>
      </c>
      <c r="X121" t="s">
        <v>34</v>
      </c>
      <c r="Y121" t="s">
        <v>24</v>
      </c>
      <c r="Z121" s="3">
        <v>8862</v>
      </c>
      <c r="AA121" s="4">
        <v>189</v>
      </c>
    </row>
    <row r="122" spans="23:27" x14ac:dyDescent="0.2">
      <c r="W122" t="s">
        <v>6</v>
      </c>
      <c r="X122" t="s">
        <v>37</v>
      </c>
      <c r="Y122" t="s">
        <v>23</v>
      </c>
      <c r="Z122" s="3">
        <v>4949</v>
      </c>
      <c r="AA122" s="4">
        <v>189</v>
      </c>
    </row>
    <row r="123" spans="23:27" x14ac:dyDescent="0.2">
      <c r="W123" t="s">
        <v>9</v>
      </c>
      <c r="X123" t="s">
        <v>36</v>
      </c>
      <c r="Y123" t="s">
        <v>32</v>
      </c>
      <c r="Z123" s="3">
        <v>2954</v>
      </c>
      <c r="AA123" s="4">
        <v>189</v>
      </c>
    </row>
    <row r="124" spans="23:27" x14ac:dyDescent="0.2">
      <c r="W124" t="s">
        <v>9</v>
      </c>
      <c r="X124" t="s">
        <v>34</v>
      </c>
      <c r="Y124" t="s">
        <v>16</v>
      </c>
      <c r="Z124" s="3">
        <v>938</v>
      </c>
      <c r="AA124" s="4">
        <v>189</v>
      </c>
    </row>
    <row r="125" spans="23:27" x14ac:dyDescent="0.2">
      <c r="W125" t="s">
        <v>41</v>
      </c>
      <c r="X125" t="s">
        <v>35</v>
      </c>
      <c r="Y125" t="s">
        <v>15</v>
      </c>
      <c r="Z125" s="3">
        <v>2114</v>
      </c>
      <c r="AA125" s="4">
        <v>186</v>
      </c>
    </row>
    <row r="126" spans="23:27" x14ac:dyDescent="0.2">
      <c r="W126" t="s">
        <v>8</v>
      </c>
      <c r="X126" t="s">
        <v>39</v>
      </c>
      <c r="Y126" t="s">
        <v>30</v>
      </c>
      <c r="Z126" s="3">
        <v>7021</v>
      </c>
      <c r="AA126" s="4">
        <v>183</v>
      </c>
    </row>
    <row r="127" spans="23:27" x14ac:dyDescent="0.2">
      <c r="W127" t="s">
        <v>2</v>
      </c>
      <c r="X127" t="s">
        <v>38</v>
      </c>
      <c r="Y127" t="s">
        <v>28</v>
      </c>
      <c r="Z127" s="3">
        <v>6580</v>
      </c>
      <c r="AA127" s="4">
        <v>183</v>
      </c>
    </row>
    <row r="128" spans="23:27" x14ac:dyDescent="0.2">
      <c r="W128" t="s">
        <v>6</v>
      </c>
      <c r="X128" t="s">
        <v>35</v>
      </c>
      <c r="Y128" t="s">
        <v>27</v>
      </c>
      <c r="Z128" s="3">
        <v>3864</v>
      </c>
      <c r="AA128" s="4">
        <v>177</v>
      </c>
    </row>
    <row r="129" spans="23:27" x14ac:dyDescent="0.2">
      <c r="W129" t="s">
        <v>7</v>
      </c>
      <c r="X129" t="s">
        <v>36</v>
      </c>
      <c r="Y129" t="s">
        <v>18</v>
      </c>
      <c r="Z129" s="3">
        <v>2646</v>
      </c>
      <c r="AA129" s="4">
        <v>177</v>
      </c>
    </row>
    <row r="130" spans="23:27" x14ac:dyDescent="0.2">
      <c r="W130" t="s">
        <v>41</v>
      </c>
      <c r="X130" t="s">
        <v>37</v>
      </c>
      <c r="Y130" t="s">
        <v>26</v>
      </c>
      <c r="Z130" s="3">
        <v>2324</v>
      </c>
      <c r="AA130" s="4">
        <v>177</v>
      </c>
    </row>
    <row r="131" spans="23:27" x14ac:dyDescent="0.2">
      <c r="W131" t="s">
        <v>41</v>
      </c>
      <c r="X131" t="s">
        <v>34</v>
      </c>
      <c r="Y131" t="s">
        <v>33</v>
      </c>
      <c r="Z131" s="3">
        <v>7847</v>
      </c>
      <c r="AA131" s="4">
        <v>174</v>
      </c>
    </row>
    <row r="132" spans="23:27" x14ac:dyDescent="0.2">
      <c r="W132" t="s">
        <v>41</v>
      </c>
      <c r="X132" t="s">
        <v>36</v>
      </c>
      <c r="Y132" t="s">
        <v>30</v>
      </c>
      <c r="Z132" s="3">
        <v>6118</v>
      </c>
      <c r="AA132" s="4">
        <v>174</v>
      </c>
    </row>
    <row r="133" spans="23:27" x14ac:dyDescent="0.2">
      <c r="W133" t="s">
        <v>40</v>
      </c>
      <c r="X133" t="s">
        <v>35</v>
      </c>
      <c r="Y133" t="s">
        <v>16</v>
      </c>
      <c r="Z133" s="3">
        <v>4725</v>
      </c>
      <c r="AA133" s="4">
        <v>174</v>
      </c>
    </row>
    <row r="134" spans="23:27" x14ac:dyDescent="0.2">
      <c r="W134" t="s">
        <v>9</v>
      </c>
      <c r="X134" t="s">
        <v>34</v>
      </c>
      <c r="Y134" t="s">
        <v>17</v>
      </c>
      <c r="Z134" s="3">
        <v>707</v>
      </c>
      <c r="AA134" s="4">
        <v>174</v>
      </c>
    </row>
    <row r="135" spans="23:27" x14ac:dyDescent="0.2">
      <c r="W135" t="s">
        <v>3</v>
      </c>
      <c r="X135" t="s">
        <v>39</v>
      </c>
      <c r="Y135" t="s">
        <v>26</v>
      </c>
      <c r="Z135" s="3">
        <v>4956</v>
      </c>
      <c r="AA135" s="4">
        <v>171</v>
      </c>
    </row>
    <row r="136" spans="23:27" x14ac:dyDescent="0.2">
      <c r="W136" t="s">
        <v>5</v>
      </c>
      <c r="X136" t="s">
        <v>39</v>
      </c>
      <c r="Y136" t="s">
        <v>24</v>
      </c>
      <c r="Z136" s="3">
        <v>4018</v>
      </c>
      <c r="AA136" s="4">
        <v>171</v>
      </c>
    </row>
    <row r="137" spans="23:27" x14ac:dyDescent="0.2">
      <c r="W137" t="s">
        <v>5</v>
      </c>
      <c r="X137" t="s">
        <v>38</v>
      </c>
      <c r="Y137" t="s">
        <v>19</v>
      </c>
      <c r="Z137" s="3">
        <v>5474</v>
      </c>
      <c r="AA137" s="4">
        <v>168</v>
      </c>
    </row>
    <row r="138" spans="23:27" x14ac:dyDescent="0.2">
      <c r="W138" t="s">
        <v>8</v>
      </c>
      <c r="X138" t="s">
        <v>35</v>
      </c>
      <c r="Y138" t="s">
        <v>29</v>
      </c>
      <c r="Z138" s="3">
        <v>2023</v>
      </c>
      <c r="AA138" s="4">
        <v>168</v>
      </c>
    </row>
    <row r="139" spans="23:27" x14ac:dyDescent="0.2">
      <c r="W139" t="s">
        <v>3</v>
      </c>
      <c r="X139" t="s">
        <v>39</v>
      </c>
      <c r="Y139" t="s">
        <v>16</v>
      </c>
      <c r="Z139" s="3">
        <v>21</v>
      </c>
      <c r="AA139" s="4">
        <v>168</v>
      </c>
    </row>
    <row r="140" spans="23:27" x14ac:dyDescent="0.2">
      <c r="W140" t="s">
        <v>3</v>
      </c>
      <c r="X140" t="s">
        <v>36</v>
      </c>
      <c r="Y140" t="s">
        <v>23</v>
      </c>
      <c r="Z140" s="3">
        <v>3773</v>
      </c>
      <c r="AA140" s="4">
        <v>165</v>
      </c>
    </row>
    <row r="141" spans="23:27" x14ac:dyDescent="0.2">
      <c r="W141" t="s">
        <v>2</v>
      </c>
      <c r="X141" t="s">
        <v>39</v>
      </c>
      <c r="Y141" t="s">
        <v>20</v>
      </c>
      <c r="Z141" s="3">
        <v>9443</v>
      </c>
      <c r="AA141" s="4">
        <v>162</v>
      </c>
    </row>
    <row r="142" spans="23:27" x14ac:dyDescent="0.2">
      <c r="W142" t="s">
        <v>40</v>
      </c>
      <c r="X142" t="s">
        <v>34</v>
      </c>
      <c r="Y142" t="s">
        <v>19</v>
      </c>
      <c r="Z142" s="3">
        <v>4018</v>
      </c>
      <c r="AA142" s="4">
        <v>162</v>
      </c>
    </row>
    <row r="143" spans="23:27" x14ac:dyDescent="0.2">
      <c r="W143" t="s">
        <v>3</v>
      </c>
      <c r="X143" t="s">
        <v>36</v>
      </c>
      <c r="Y143" t="s">
        <v>28</v>
      </c>
      <c r="Z143" s="3">
        <v>973</v>
      </c>
      <c r="AA143" s="4">
        <v>162</v>
      </c>
    </row>
    <row r="144" spans="23:27" x14ac:dyDescent="0.2">
      <c r="W144" t="s">
        <v>40</v>
      </c>
      <c r="X144" t="s">
        <v>34</v>
      </c>
      <c r="Y144" t="s">
        <v>33</v>
      </c>
      <c r="Z144" s="3">
        <v>3794</v>
      </c>
      <c r="AA144" s="4">
        <v>159</v>
      </c>
    </row>
    <row r="145" spans="23:27" x14ac:dyDescent="0.2">
      <c r="W145" t="s">
        <v>9</v>
      </c>
      <c r="X145" t="s">
        <v>35</v>
      </c>
      <c r="Y145" t="s">
        <v>26</v>
      </c>
      <c r="Z145" s="3">
        <v>98</v>
      </c>
      <c r="AA145" s="4">
        <v>159</v>
      </c>
    </row>
    <row r="146" spans="23:27" x14ac:dyDescent="0.2">
      <c r="W146" t="s">
        <v>40</v>
      </c>
      <c r="X146" t="s">
        <v>34</v>
      </c>
      <c r="Y146" t="s">
        <v>17</v>
      </c>
      <c r="Z146" s="3">
        <v>5019</v>
      </c>
      <c r="AA146" s="4">
        <v>156</v>
      </c>
    </row>
    <row r="147" spans="23:27" x14ac:dyDescent="0.2">
      <c r="W147" t="s">
        <v>6</v>
      </c>
      <c r="X147" t="s">
        <v>36</v>
      </c>
      <c r="Y147" t="s">
        <v>17</v>
      </c>
      <c r="Z147" s="3">
        <v>4970</v>
      </c>
      <c r="AA147" s="4">
        <v>156</v>
      </c>
    </row>
    <row r="148" spans="23:27" x14ac:dyDescent="0.2">
      <c r="W148" t="s">
        <v>9</v>
      </c>
      <c r="X148" t="s">
        <v>37</v>
      </c>
      <c r="Y148" t="s">
        <v>25</v>
      </c>
      <c r="Z148" s="3">
        <v>4305</v>
      </c>
      <c r="AA148" s="4">
        <v>156</v>
      </c>
    </row>
    <row r="149" spans="23:27" x14ac:dyDescent="0.2">
      <c r="W149" t="s">
        <v>2</v>
      </c>
      <c r="X149" t="s">
        <v>38</v>
      </c>
      <c r="Y149" t="s">
        <v>23</v>
      </c>
      <c r="Z149" s="3">
        <v>4417</v>
      </c>
      <c r="AA149" s="4">
        <v>153</v>
      </c>
    </row>
    <row r="150" spans="23:27" x14ac:dyDescent="0.2">
      <c r="W150" t="s">
        <v>8</v>
      </c>
      <c r="X150" t="s">
        <v>36</v>
      </c>
      <c r="Y150" t="s">
        <v>23</v>
      </c>
      <c r="Z150" s="3">
        <v>5019</v>
      </c>
      <c r="AA150" s="4">
        <v>150</v>
      </c>
    </row>
    <row r="151" spans="23:27" x14ac:dyDescent="0.2">
      <c r="W151" t="s">
        <v>6</v>
      </c>
      <c r="X151" t="s">
        <v>34</v>
      </c>
      <c r="Y151" t="s">
        <v>17</v>
      </c>
      <c r="Z151" s="3">
        <v>3759</v>
      </c>
      <c r="AA151" s="4">
        <v>150</v>
      </c>
    </row>
    <row r="152" spans="23:27" x14ac:dyDescent="0.2">
      <c r="W152" t="s">
        <v>8</v>
      </c>
      <c r="X152" t="s">
        <v>37</v>
      </c>
      <c r="Y152" t="s">
        <v>30</v>
      </c>
      <c r="Z152" s="3">
        <v>42</v>
      </c>
      <c r="AA152" s="4">
        <v>150</v>
      </c>
    </row>
    <row r="153" spans="23:27" x14ac:dyDescent="0.2">
      <c r="W153" t="s">
        <v>9</v>
      </c>
      <c r="X153" t="s">
        <v>35</v>
      </c>
      <c r="Y153" t="s">
        <v>4</v>
      </c>
      <c r="Z153" s="3">
        <v>959</v>
      </c>
      <c r="AA153" s="4">
        <v>147</v>
      </c>
    </row>
    <row r="154" spans="23:27" x14ac:dyDescent="0.2">
      <c r="W154" t="s">
        <v>2</v>
      </c>
      <c r="X154" t="s">
        <v>39</v>
      </c>
      <c r="Y154" t="s">
        <v>28</v>
      </c>
      <c r="Z154" s="3">
        <v>6027</v>
      </c>
      <c r="AA154" s="4">
        <v>144</v>
      </c>
    </row>
    <row r="155" spans="23:27" x14ac:dyDescent="0.2">
      <c r="W155" t="s">
        <v>3</v>
      </c>
      <c r="X155" t="s">
        <v>37</v>
      </c>
      <c r="Y155" t="s">
        <v>17</v>
      </c>
      <c r="Z155" s="3">
        <v>3983</v>
      </c>
      <c r="AA155" s="4">
        <v>144</v>
      </c>
    </row>
    <row r="156" spans="23:27" x14ac:dyDescent="0.2">
      <c r="W156" t="s">
        <v>9</v>
      </c>
      <c r="X156" t="s">
        <v>35</v>
      </c>
      <c r="Y156" t="s">
        <v>27</v>
      </c>
      <c r="Z156" s="3">
        <v>2429</v>
      </c>
      <c r="AA156" s="4">
        <v>144</v>
      </c>
    </row>
    <row r="157" spans="23:27" x14ac:dyDescent="0.2">
      <c r="W157" t="s">
        <v>41</v>
      </c>
      <c r="X157" t="s">
        <v>34</v>
      </c>
      <c r="Y157" t="s">
        <v>22</v>
      </c>
      <c r="Z157" s="3">
        <v>336</v>
      </c>
      <c r="AA157" s="4">
        <v>144</v>
      </c>
    </row>
    <row r="158" spans="23:27" x14ac:dyDescent="0.2">
      <c r="W158" t="s">
        <v>10</v>
      </c>
      <c r="X158" t="s">
        <v>38</v>
      </c>
      <c r="Y158" t="s">
        <v>22</v>
      </c>
      <c r="Z158" s="3">
        <v>2205</v>
      </c>
      <c r="AA158" s="4">
        <v>141</v>
      </c>
    </row>
    <row r="159" spans="23:27" x14ac:dyDescent="0.2">
      <c r="W159" t="s">
        <v>2</v>
      </c>
      <c r="X159" t="s">
        <v>39</v>
      </c>
      <c r="Y159" t="s">
        <v>22</v>
      </c>
      <c r="Z159" s="3">
        <v>1568</v>
      </c>
      <c r="AA159" s="4">
        <v>141</v>
      </c>
    </row>
    <row r="160" spans="23:27" x14ac:dyDescent="0.2">
      <c r="W160" t="s">
        <v>7</v>
      </c>
      <c r="X160" t="s">
        <v>34</v>
      </c>
      <c r="Y160" t="s">
        <v>20</v>
      </c>
      <c r="Z160" s="3">
        <v>2205</v>
      </c>
      <c r="AA160" s="4">
        <v>138</v>
      </c>
    </row>
    <row r="161" spans="23:27" x14ac:dyDescent="0.2">
      <c r="W161" t="s">
        <v>40</v>
      </c>
      <c r="X161" t="s">
        <v>34</v>
      </c>
      <c r="Y161" t="s">
        <v>27</v>
      </c>
      <c r="Z161" s="3">
        <v>2289</v>
      </c>
      <c r="AA161" s="4">
        <v>135</v>
      </c>
    </row>
    <row r="162" spans="23:27" x14ac:dyDescent="0.2">
      <c r="W162" t="s">
        <v>6</v>
      </c>
      <c r="X162" t="s">
        <v>36</v>
      </c>
      <c r="Y162" t="s">
        <v>29</v>
      </c>
      <c r="Z162" s="3">
        <v>1400</v>
      </c>
      <c r="AA162" s="4">
        <v>135</v>
      </c>
    </row>
    <row r="163" spans="23:27" x14ac:dyDescent="0.2">
      <c r="W163" t="s">
        <v>6</v>
      </c>
      <c r="X163" t="s">
        <v>38</v>
      </c>
      <c r="Y163" t="s">
        <v>33</v>
      </c>
      <c r="Z163" s="3">
        <v>959</v>
      </c>
      <c r="AA163" s="4">
        <v>135</v>
      </c>
    </row>
    <row r="164" spans="23:27" x14ac:dyDescent="0.2">
      <c r="W164" t="s">
        <v>40</v>
      </c>
      <c r="X164" t="s">
        <v>39</v>
      </c>
      <c r="Y164" t="s">
        <v>29</v>
      </c>
      <c r="Z164" s="3">
        <v>0</v>
      </c>
      <c r="AA164" s="4">
        <v>135</v>
      </c>
    </row>
    <row r="165" spans="23:27" x14ac:dyDescent="0.2">
      <c r="W165" t="s">
        <v>41</v>
      </c>
      <c r="X165" t="s">
        <v>35</v>
      </c>
      <c r="Y165" t="s">
        <v>27</v>
      </c>
      <c r="Z165" s="3">
        <v>847</v>
      </c>
      <c r="AA165" s="4">
        <v>129</v>
      </c>
    </row>
    <row r="166" spans="23:27" x14ac:dyDescent="0.2">
      <c r="W166" t="s">
        <v>10</v>
      </c>
      <c r="X166" t="s">
        <v>38</v>
      </c>
      <c r="Y166" t="s">
        <v>4</v>
      </c>
      <c r="Z166" s="3">
        <v>6860</v>
      </c>
      <c r="AA166" s="4">
        <v>126</v>
      </c>
    </row>
    <row r="167" spans="23:27" x14ac:dyDescent="0.2">
      <c r="W167" t="s">
        <v>41</v>
      </c>
      <c r="X167" t="s">
        <v>34</v>
      </c>
      <c r="Y167" t="s">
        <v>23</v>
      </c>
      <c r="Z167" s="3">
        <v>4935</v>
      </c>
      <c r="AA167" s="4">
        <v>126</v>
      </c>
    </row>
    <row r="168" spans="23:27" x14ac:dyDescent="0.2">
      <c r="W168" t="s">
        <v>2</v>
      </c>
      <c r="X168" t="s">
        <v>39</v>
      </c>
      <c r="Y168" t="s">
        <v>33</v>
      </c>
      <c r="Z168" s="3">
        <v>4018</v>
      </c>
      <c r="AA168" s="4">
        <v>126</v>
      </c>
    </row>
    <row r="169" spans="23:27" x14ac:dyDescent="0.2">
      <c r="W169" t="s">
        <v>40</v>
      </c>
      <c r="X169" t="s">
        <v>35</v>
      </c>
      <c r="Y169" t="s">
        <v>29</v>
      </c>
      <c r="Z169" s="3">
        <v>1617</v>
      </c>
      <c r="AA169" s="4">
        <v>126</v>
      </c>
    </row>
    <row r="170" spans="23:27" x14ac:dyDescent="0.2">
      <c r="W170" t="s">
        <v>8</v>
      </c>
      <c r="X170" t="s">
        <v>35</v>
      </c>
      <c r="Y170" t="s">
        <v>33</v>
      </c>
      <c r="Z170" s="3">
        <v>357</v>
      </c>
      <c r="AA170" s="4">
        <v>126</v>
      </c>
    </row>
    <row r="171" spans="23:27" x14ac:dyDescent="0.2">
      <c r="W171" t="s">
        <v>6</v>
      </c>
      <c r="X171" t="s">
        <v>34</v>
      </c>
      <c r="Y171" t="s">
        <v>32</v>
      </c>
      <c r="Z171" s="3">
        <v>6734</v>
      </c>
      <c r="AA171" s="4">
        <v>123</v>
      </c>
    </row>
    <row r="172" spans="23:27" x14ac:dyDescent="0.2">
      <c r="W172" t="s">
        <v>6</v>
      </c>
      <c r="X172" t="s">
        <v>35</v>
      </c>
      <c r="Y172" t="s">
        <v>30</v>
      </c>
      <c r="Z172" s="3">
        <v>4781</v>
      </c>
      <c r="AA172" s="4">
        <v>123</v>
      </c>
    </row>
    <row r="173" spans="23:27" x14ac:dyDescent="0.2">
      <c r="W173" t="s">
        <v>41</v>
      </c>
      <c r="X173" t="s">
        <v>37</v>
      </c>
      <c r="Y173" t="s">
        <v>20</v>
      </c>
      <c r="Z173" s="3">
        <v>3388</v>
      </c>
      <c r="AA173" s="4">
        <v>123</v>
      </c>
    </row>
    <row r="174" spans="23:27" x14ac:dyDescent="0.2">
      <c r="W174" t="s">
        <v>6</v>
      </c>
      <c r="X174" t="s">
        <v>38</v>
      </c>
      <c r="Y174" t="s">
        <v>13</v>
      </c>
      <c r="Z174" s="3">
        <v>2317</v>
      </c>
      <c r="AA174" s="4">
        <v>123</v>
      </c>
    </row>
    <row r="175" spans="23:27" x14ac:dyDescent="0.2">
      <c r="W175" t="s">
        <v>10</v>
      </c>
      <c r="X175" t="s">
        <v>38</v>
      </c>
      <c r="Y175" t="s">
        <v>13</v>
      </c>
      <c r="Z175" s="3">
        <v>63</v>
      </c>
      <c r="AA175" s="4">
        <v>123</v>
      </c>
    </row>
    <row r="176" spans="23:27" x14ac:dyDescent="0.2">
      <c r="W176" t="s">
        <v>6</v>
      </c>
      <c r="X176" t="s">
        <v>36</v>
      </c>
      <c r="Y176" t="s">
        <v>4</v>
      </c>
      <c r="Z176" s="3">
        <v>10073</v>
      </c>
      <c r="AA176" s="4">
        <v>120</v>
      </c>
    </row>
    <row r="177" spans="23:27" x14ac:dyDescent="0.2">
      <c r="W177" t="s">
        <v>2</v>
      </c>
      <c r="X177" t="s">
        <v>34</v>
      </c>
      <c r="Y177" t="s">
        <v>19</v>
      </c>
      <c r="Z177" s="3">
        <v>7511</v>
      </c>
      <c r="AA177" s="4">
        <v>120</v>
      </c>
    </row>
    <row r="178" spans="23:27" x14ac:dyDescent="0.2">
      <c r="W178" t="s">
        <v>9</v>
      </c>
      <c r="X178" t="s">
        <v>38</v>
      </c>
      <c r="Y178" t="s">
        <v>16</v>
      </c>
      <c r="Z178" s="3">
        <v>2646</v>
      </c>
      <c r="AA178" s="4">
        <v>120</v>
      </c>
    </row>
    <row r="179" spans="23:27" x14ac:dyDescent="0.2">
      <c r="W179" t="s">
        <v>3</v>
      </c>
      <c r="X179" t="s">
        <v>34</v>
      </c>
      <c r="Y179" t="s">
        <v>23</v>
      </c>
      <c r="Z179" s="3">
        <v>2212</v>
      </c>
      <c r="AA179" s="4">
        <v>117</v>
      </c>
    </row>
    <row r="180" spans="23:27" x14ac:dyDescent="0.2">
      <c r="W180" t="s">
        <v>7</v>
      </c>
      <c r="X180" t="s">
        <v>36</v>
      </c>
      <c r="Y180" t="s">
        <v>31</v>
      </c>
      <c r="Z180" s="3">
        <v>2149</v>
      </c>
      <c r="AA180" s="4">
        <v>117</v>
      </c>
    </row>
    <row r="181" spans="23:27" x14ac:dyDescent="0.2">
      <c r="W181" t="s">
        <v>2</v>
      </c>
      <c r="X181" t="s">
        <v>39</v>
      </c>
      <c r="Y181" t="s">
        <v>16</v>
      </c>
      <c r="Z181" s="3">
        <v>2016</v>
      </c>
      <c r="AA181" s="4">
        <v>117</v>
      </c>
    </row>
    <row r="182" spans="23:27" x14ac:dyDescent="0.2">
      <c r="W182" t="s">
        <v>7</v>
      </c>
      <c r="X182" t="s">
        <v>35</v>
      </c>
      <c r="Y182" t="s">
        <v>24</v>
      </c>
      <c r="Z182" s="3">
        <v>2793</v>
      </c>
      <c r="AA182" s="4">
        <v>114</v>
      </c>
    </row>
    <row r="183" spans="23:27" x14ac:dyDescent="0.2">
      <c r="W183" t="s">
        <v>9</v>
      </c>
      <c r="X183" t="s">
        <v>36</v>
      </c>
      <c r="Y183" t="s">
        <v>25</v>
      </c>
      <c r="Z183" s="3">
        <v>2142</v>
      </c>
      <c r="AA183" s="4">
        <v>114</v>
      </c>
    </row>
    <row r="184" spans="23:27" x14ac:dyDescent="0.2">
      <c r="W184" t="s">
        <v>40</v>
      </c>
      <c r="X184" t="s">
        <v>37</v>
      </c>
      <c r="Y184" t="s">
        <v>30</v>
      </c>
      <c r="Z184" s="3">
        <v>1624</v>
      </c>
      <c r="AA184" s="4">
        <v>114</v>
      </c>
    </row>
    <row r="185" spans="23:27" x14ac:dyDescent="0.2">
      <c r="W185" t="s">
        <v>7</v>
      </c>
      <c r="X185" t="s">
        <v>37</v>
      </c>
      <c r="Y185" t="s">
        <v>17</v>
      </c>
      <c r="Z185" s="3">
        <v>4487</v>
      </c>
      <c r="AA185" s="4">
        <v>111</v>
      </c>
    </row>
    <row r="186" spans="23:27" x14ac:dyDescent="0.2">
      <c r="W186" t="s">
        <v>5</v>
      </c>
      <c r="X186" t="s">
        <v>36</v>
      </c>
      <c r="Y186" t="s">
        <v>30</v>
      </c>
      <c r="Z186" s="3">
        <v>1526</v>
      </c>
      <c r="AA186" s="4">
        <v>105</v>
      </c>
    </row>
    <row r="187" spans="23:27" x14ac:dyDescent="0.2">
      <c r="W187" t="s">
        <v>41</v>
      </c>
      <c r="X187" t="s">
        <v>37</v>
      </c>
      <c r="Y187" t="s">
        <v>24</v>
      </c>
      <c r="Z187" s="3">
        <v>6398</v>
      </c>
      <c r="AA187" s="4">
        <v>102</v>
      </c>
    </row>
    <row r="188" spans="23:27" x14ac:dyDescent="0.2">
      <c r="W188" t="s">
        <v>40</v>
      </c>
      <c r="X188" t="s">
        <v>38</v>
      </c>
      <c r="Y188" t="s">
        <v>4</v>
      </c>
      <c r="Z188" s="3">
        <v>6125</v>
      </c>
      <c r="AA188" s="4">
        <v>102</v>
      </c>
    </row>
    <row r="189" spans="23:27" x14ac:dyDescent="0.2">
      <c r="W189" t="s">
        <v>9</v>
      </c>
      <c r="X189" t="s">
        <v>38</v>
      </c>
      <c r="Y189" t="s">
        <v>25</v>
      </c>
      <c r="Z189" s="3">
        <v>3850</v>
      </c>
      <c r="AA189" s="4">
        <v>102</v>
      </c>
    </row>
    <row r="190" spans="23:27" x14ac:dyDescent="0.2">
      <c r="W190" t="s">
        <v>5</v>
      </c>
      <c r="X190" t="s">
        <v>34</v>
      </c>
      <c r="Y190" t="s">
        <v>29</v>
      </c>
      <c r="Z190" s="3">
        <v>2891</v>
      </c>
      <c r="AA190" s="4">
        <v>102</v>
      </c>
    </row>
    <row r="191" spans="23:27" x14ac:dyDescent="0.2">
      <c r="W191" t="s">
        <v>3</v>
      </c>
      <c r="X191" t="s">
        <v>39</v>
      </c>
      <c r="Y191" t="s">
        <v>28</v>
      </c>
      <c r="Z191" s="3">
        <v>1652</v>
      </c>
      <c r="AA191" s="4">
        <v>102</v>
      </c>
    </row>
    <row r="192" spans="23:27" x14ac:dyDescent="0.2">
      <c r="W192" t="s">
        <v>6</v>
      </c>
      <c r="X192" t="s">
        <v>37</v>
      </c>
      <c r="Y192" t="s">
        <v>18</v>
      </c>
      <c r="Z192" s="3">
        <v>1505</v>
      </c>
      <c r="AA192" s="4">
        <v>102</v>
      </c>
    </row>
    <row r="193" spans="23:27" x14ac:dyDescent="0.2">
      <c r="W193" t="s">
        <v>9</v>
      </c>
      <c r="X193" t="s">
        <v>38</v>
      </c>
      <c r="Y193" t="s">
        <v>26</v>
      </c>
      <c r="Z193" s="3">
        <v>2436</v>
      </c>
      <c r="AA193" s="4">
        <v>99</v>
      </c>
    </row>
    <row r="194" spans="23:27" x14ac:dyDescent="0.2">
      <c r="W194" t="s">
        <v>41</v>
      </c>
      <c r="X194" t="s">
        <v>35</v>
      </c>
      <c r="Y194" t="s">
        <v>19</v>
      </c>
      <c r="Z194" s="3">
        <v>609</v>
      </c>
      <c r="AA194" s="4">
        <v>99</v>
      </c>
    </row>
    <row r="195" spans="23:27" x14ac:dyDescent="0.2">
      <c r="W195" t="s">
        <v>9</v>
      </c>
      <c r="X195" t="s">
        <v>37</v>
      </c>
      <c r="Y195" t="s">
        <v>20</v>
      </c>
      <c r="Z195" s="3">
        <v>7273</v>
      </c>
      <c r="AA195" s="4">
        <v>96</v>
      </c>
    </row>
    <row r="196" spans="23:27" x14ac:dyDescent="0.2">
      <c r="W196" t="s">
        <v>10</v>
      </c>
      <c r="X196" t="s">
        <v>35</v>
      </c>
      <c r="Y196" t="s">
        <v>14</v>
      </c>
      <c r="Z196" s="3">
        <v>3472</v>
      </c>
      <c r="AA196" s="4">
        <v>96</v>
      </c>
    </row>
    <row r="197" spans="23:27" x14ac:dyDescent="0.2">
      <c r="W197" t="s">
        <v>7</v>
      </c>
      <c r="X197" t="s">
        <v>34</v>
      </c>
      <c r="Y197" t="s">
        <v>25</v>
      </c>
      <c r="Z197" s="3">
        <v>1568</v>
      </c>
      <c r="AA197" s="4">
        <v>96</v>
      </c>
    </row>
    <row r="198" spans="23:27" x14ac:dyDescent="0.2">
      <c r="W198" t="s">
        <v>40</v>
      </c>
      <c r="X198" t="s">
        <v>37</v>
      </c>
      <c r="Y198" t="s">
        <v>27</v>
      </c>
      <c r="Z198" s="3">
        <v>6132</v>
      </c>
      <c r="AA198" s="4">
        <v>93</v>
      </c>
    </row>
    <row r="199" spans="23:27" x14ac:dyDescent="0.2">
      <c r="W199" t="s">
        <v>3</v>
      </c>
      <c r="X199" t="s">
        <v>34</v>
      </c>
      <c r="Y199" t="s">
        <v>17</v>
      </c>
      <c r="Z199" s="3">
        <v>2919</v>
      </c>
      <c r="AA199" s="4">
        <v>93</v>
      </c>
    </row>
    <row r="200" spans="23:27" x14ac:dyDescent="0.2">
      <c r="W200" t="s">
        <v>9</v>
      </c>
      <c r="X200" t="s">
        <v>37</v>
      </c>
      <c r="Y200" t="s">
        <v>23</v>
      </c>
      <c r="Z200" s="3">
        <v>2737</v>
      </c>
      <c r="AA200" s="4">
        <v>93</v>
      </c>
    </row>
    <row r="201" spans="23:27" x14ac:dyDescent="0.2">
      <c r="W201" t="s">
        <v>5</v>
      </c>
      <c r="X201" t="s">
        <v>34</v>
      </c>
      <c r="Y201" t="s">
        <v>33</v>
      </c>
      <c r="Z201" s="3">
        <v>1652</v>
      </c>
      <c r="AA201" s="4">
        <v>93</v>
      </c>
    </row>
    <row r="202" spans="23:27" x14ac:dyDescent="0.2">
      <c r="W202" t="s">
        <v>10</v>
      </c>
      <c r="X202" t="s">
        <v>34</v>
      </c>
      <c r="Y202" t="s">
        <v>25</v>
      </c>
      <c r="Z202" s="3">
        <v>1428</v>
      </c>
      <c r="AA202" s="4">
        <v>93</v>
      </c>
    </row>
    <row r="203" spans="23:27" x14ac:dyDescent="0.2">
      <c r="W203" t="s">
        <v>40</v>
      </c>
      <c r="X203" t="s">
        <v>36</v>
      </c>
      <c r="Y203" t="s">
        <v>33</v>
      </c>
      <c r="Z203" s="3">
        <v>9772</v>
      </c>
      <c r="AA203" s="4">
        <v>90</v>
      </c>
    </row>
    <row r="204" spans="23:27" x14ac:dyDescent="0.2">
      <c r="W204" t="s">
        <v>9</v>
      </c>
      <c r="X204" t="s">
        <v>34</v>
      </c>
      <c r="Y204" t="s">
        <v>23</v>
      </c>
      <c r="Z204" s="3">
        <v>8155</v>
      </c>
      <c r="AA204" s="4">
        <v>90</v>
      </c>
    </row>
    <row r="205" spans="23:27" x14ac:dyDescent="0.2">
      <c r="W205" t="s">
        <v>40</v>
      </c>
      <c r="X205" t="s">
        <v>38</v>
      </c>
      <c r="Y205" t="s">
        <v>25</v>
      </c>
      <c r="Z205" s="3">
        <v>2541</v>
      </c>
      <c r="AA205" s="4">
        <v>90</v>
      </c>
    </row>
    <row r="206" spans="23:27" x14ac:dyDescent="0.2">
      <c r="W206" t="s">
        <v>9</v>
      </c>
      <c r="X206" t="s">
        <v>38</v>
      </c>
      <c r="Y206" t="s">
        <v>33</v>
      </c>
      <c r="Z206" s="3">
        <v>9506</v>
      </c>
      <c r="AA206" s="4">
        <v>87</v>
      </c>
    </row>
    <row r="207" spans="23:27" x14ac:dyDescent="0.2">
      <c r="W207" t="s">
        <v>6</v>
      </c>
      <c r="X207" t="s">
        <v>37</v>
      </c>
      <c r="Y207" t="s">
        <v>31</v>
      </c>
      <c r="Z207" s="3">
        <v>7693</v>
      </c>
      <c r="AA207" s="4">
        <v>87</v>
      </c>
    </row>
    <row r="208" spans="23:27" x14ac:dyDescent="0.2">
      <c r="W208" t="s">
        <v>10</v>
      </c>
      <c r="X208" t="s">
        <v>34</v>
      </c>
      <c r="Y208" t="s">
        <v>17</v>
      </c>
      <c r="Z208" s="3">
        <v>700</v>
      </c>
      <c r="AA208" s="4">
        <v>87</v>
      </c>
    </row>
    <row r="209" spans="23:27" x14ac:dyDescent="0.2">
      <c r="W209" t="s">
        <v>40</v>
      </c>
      <c r="X209" t="s">
        <v>38</v>
      </c>
      <c r="Y209" t="s">
        <v>26</v>
      </c>
      <c r="Z209" s="3">
        <v>609</v>
      </c>
      <c r="AA209" s="4">
        <v>87</v>
      </c>
    </row>
    <row r="210" spans="23:27" x14ac:dyDescent="0.2">
      <c r="W210" t="s">
        <v>8</v>
      </c>
      <c r="X210" t="s">
        <v>37</v>
      </c>
      <c r="Y210" t="s">
        <v>21</v>
      </c>
      <c r="Z210" s="3">
        <v>434</v>
      </c>
      <c r="AA210" s="4">
        <v>87</v>
      </c>
    </row>
    <row r="211" spans="23:27" x14ac:dyDescent="0.2">
      <c r="W211" t="s">
        <v>7</v>
      </c>
      <c r="X211" t="s">
        <v>36</v>
      </c>
      <c r="Y211" t="s">
        <v>32</v>
      </c>
      <c r="Z211" s="3">
        <v>280</v>
      </c>
      <c r="AA211" s="4">
        <v>87</v>
      </c>
    </row>
    <row r="212" spans="23:27" x14ac:dyDescent="0.2">
      <c r="W212" t="s">
        <v>41</v>
      </c>
      <c r="X212" t="s">
        <v>36</v>
      </c>
      <c r="Y212" t="s">
        <v>32</v>
      </c>
      <c r="Z212" s="3">
        <v>10304</v>
      </c>
      <c r="AA212" s="4">
        <v>84</v>
      </c>
    </row>
    <row r="213" spans="23:27" x14ac:dyDescent="0.2">
      <c r="W213" t="s">
        <v>5</v>
      </c>
      <c r="X213" t="s">
        <v>35</v>
      </c>
      <c r="Y213" t="s">
        <v>22</v>
      </c>
      <c r="Z213" s="3">
        <v>490</v>
      </c>
      <c r="AA213" s="4">
        <v>84</v>
      </c>
    </row>
    <row r="214" spans="23:27" x14ac:dyDescent="0.2">
      <c r="W214" t="s">
        <v>8</v>
      </c>
      <c r="X214" t="s">
        <v>38</v>
      </c>
      <c r="Y214" t="s">
        <v>22</v>
      </c>
      <c r="Z214" s="3">
        <v>168</v>
      </c>
      <c r="AA214" s="4">
        <v>84</v>
      </c>
    </row>
    <row r="215" spans="23:27" x14ac:dyDescent="0.2">
      <c r="W215" t="s">
        <v>2</v>
      </c>
      <c r="X215" t="s">
        <v>39</v>
      </c>
      <c r="Y215" t="s">
        <v>27</v>
      </c>
      <c r="Z215" s="3">
        <v>7812</v>
      </c>
      <c r="AA215" s="4">
        <v>81</v>
      </c>
    </row>
    <row r="216" spans="23:27" x14ac:dyDescent="0.2">
      <c r="W216" t="s">
        <v>5</v>
      </c>
      <c r="X216" t="s">
        <v>39</v>
      </c>
      <c r="Y216" t="s">
        <v>22</v>
      </c>
      <c r="Z216" s="3">
        <v>6909</v>
      </c>
      <c r="AA216" s="4">
        <v>81</v>
      </c>
    </row>
    <row r="217" spans="23:27" x14ac:dyDescent="0.2">
      <c r="W217" t="s">
        <v>8</v>
      </c>
      <c r="X217" t="s">
        <v>35</v>
      </c>
      <c r="Y217" t="s">
        <v>30</v>
      </c>
      <c r="Z217" s="3">
        <v>3598</v>
      </c>
      <c r="AA217" s="4">
        <v>81</v>
      </c>
    </row>
    <row r="218" spans="23:27" x14ac:dyDescent="0.2">
      <c r="W218" t="s">
        <v>6</v>
      </c>
      <c r="X218" t="s">
        <v>37</v>
      </c>
      <c r="Y218" t="s">
        <v>30</v>
      </c>
      <c r="Z218" s="3">
        <v>560</v>
      </c>
      <c r="AA218" s="4">
        <v>81</v>
      </c>
    </row>
    <row r="219" spans="23:27" x14ac:dyDescent="0.2">
      <c r="W219" t="s">
        <v>8</v>
      </c>
      <c r="X219" t="s">
        <v>38</v>
      </c>
      <c r="Y219" t="s">
        <v>21</v>
      </c>
      <c r="Z219" s="3">
        <v>6433</v>
      </c>
      <c r="AA219" s="4">
        <v>78</v>
      </c>
    </row>
    <row r="220" spans="23:27" x14ac:dyDescent="0.2">
      <c r="W220" t="s">
        <v>3</v>
      </c>
      <c r="X220" t="s">
        <v>35</v>
      </c>
      <c r="Y220" t="s">
        <v>23</v>
      </c>
      <c r="Z220" s="3">
        <v>2023</v>
      </c>
      <c r="AA220" s="4">
        <v>78</v>
      </c>
    </row>
    <row r="221" spans="23:27" x14ac:dyDescent="0.2">
      <c r="W221" t="s">
        <v>2</v>
      </c>
      <c r="X221" t="s">
        <v>36</v>
      </c>
      <c r="Y221" t="s">
        <v>29</v>
      </c>
      <c r="Z221" s="3">
        <v>8211</v>
      </c>
      <c r="AA221" s="4">
        <v>75</v>
      </c>
    </row>
    <row r="222" spans="23:27" x14ac:dyDescent="0.2">
      <c r="W222" t="s">
        <v>6</v>
      </c>
      <c r="X222" t="s">
        <v>34</v>
      </c>
      <c r="Y222" t="s">
        <v>29</v>
      </c>
      <c r="Z222" s="3">
        <v>3339</v>
      </c>
      <c r="AA222" s="4">
        <v>75</v>
      </c>
    </row>
    <row r="223" spans="23:27" x14ac:dyDescent="0.2">
      <c r="W223" t="s">
        <v>7</v>
      </c>
      <c r="X223" t="s">
        <v>34</v>
      </c>
      <c r="Y223" t="s">
        <v>32</v>
      </c>
      <c r="Z223" s="3">
        <v>3262</v>
      </c>
      <c r="AA223" s="4">
        <v>75</v>
      </c>
    </row>
    <row r="224" spans="23:27" x14ac:dyDescent="0.2">
      <c r="W224" t="s">
        <v>40</v>
      </c>
      <c r="X224" t="s">
        <v>34</v>
      </c>
      <c r="Y224" t="s">
        <v>23</v>
      </c>
      <c r="Z224" s="3">
        <v>2779</v>
      </c>
      <c r="AA224" s="4">
        <v>75</v>
      </c>
    </row>
    <row r="225" spans="23:27" x14ac:dyDescent="0.2">
      <c r="W225" t="s">
        <v>6</v>
      </c>
      <c r="X225" t="s">
        <v>34</v>
      </c>
      <c r="Y225" t="s">
        <v>16</v>
      </c>
      <c r="Z225" s="3">
        <v>2219</v>
      </c>
      <c r="AA225" s="4">
        <v>75</v>
      </c>
    </row>
    <row r="226" spans="23:27" x14ac:dyDescent="0.2">
      <c r="W226" t="s">
        <v>7</v>
      </c>
      <c r="X226" t="s">
        <v>38</v>
      </c>
      <c r="Y226" t="s">
        <v>14</v>
      </c>
      <c r="Z226" s="3">
        <v>1281</v>
      </c>
      <c r="AA226" s="4">
        <v>75</v>
      </c>
    </row>
    <row r="227" spans="23:27" x14ac:dyDescent="0.2">
      <c r="W227" t="s">
        <v>10</v>
      </c>
      <c r="X227" t="s">
        <v>36</v>
      </c>
      <c r="Y227" t="s">
        <v>13</v>
      </c>
      <c r="Z227" s="3">
        <v>945</v>
      </c>
      <c r="AA227" s="4">
        <v>75</v>
      </c>
    </row>
    <row r="228" spans="23:27" x14ac:dyDescent="0.2">
      <c r="W228" t="s">
        <v>5</v>
      </c>
      <c r="X228" t="s">
        <v>37</v>
      </c>
      <c r="Y228" t="s">
        <v>22</v>
      </c>
      <c r="Z228" s="3">
        <v>518</v>
      </c>
      <c r="AA228" s="4">
        <v>75</v>
      </c>
    </row>
    <row r="229" spans="23:27" x14ac:dyDescent="0.2">
      <c r="W229" t="s">
        <v>6</v>
      </c>
      <c r="X229" t="s">
        <v>38</v>
      </c>
      <c r="Y229" t="s">
        <v>25</v>
      </c>
      <c r="Z229" s="3">
        <v>469</v>
      </c>
      <c r="AA229" s="4">
        <v>75</v>
      </c>
    </row>
    <row r="230" spans="23:27" x14ac:dyDescent="0.2">
      <c r="W230" t="s">
        <v>40</v>
      </c>
      <c r="X230" t="s">
        <v>37</v>
      </c>
      <c r="Y230" t="s">
        <v>29</v>
      </c>
      <c r="Z230" s="3">
        <v>9002</v>
      </c>
      <c r="AA230" s="4">
        <v>72</v>
      </c>
    </row>
    <row r="231" spans="23:27" x14ac:dyDescent="0.2">
      <c r="W231" t="s">
        <v>41</v>
      </c>
      <c r="X231" t="s">
        <v>39</v>
      </c>
      <c r="Y231" t="s">
        <v>14</v>
      </c>
      <c r="Z231" s="3">
        <v>3976</v>
      </c>
      <c r="AA231" s="4">
        <v>72</v>
      </c>
    </row>
    <row r="232" spans="23:27" x14ac:dyDescent="0.2">
      <c r="W232" t="s">
        <v>9</v>
      </c>
      <c r="X232" t="s">
        <v>39</v>
      </c>
      <c r="Y232" t="s">
        <v>25</v>
      </c>
      <c r="Z232" s="3">
        <v>3192</v>
      </c>
      <c r="AA232" s="4">
        <v>72</v>
      </c>
    </row>
    <row r="233" spans="23:27" x14ac:dyDescent="0.2">
      <c r="W233" t="s">
        <v>10</v>
      </c>
      <c r="X233" t="s">
        <v>36</v>
      </c>
      <c r="Y233" t="s">
        <v>27</v>
      </c>
      <c r="Z233" s="3">
        <v>1407</v>
      </c>
      <c r="AA233" s="4">
        <v>72</v>
      </c>
    </row>
    <row r="234" spans="23:27" x14ac:dyDescent="0.2">
      <c r="W234" t="s">
        <v>41</v>
      </c>
      <c r="X234" t="s">
        <v>35</v>
      </c>
      <c r="Y234" t="s">
        <v>13</v>
      </c>
      <c r="Z234" s="3">
        <v>4760</v>
      </c>
      <c r="AA234" s="4">
        <v>69</v>
      </c>
    </row>
    <row r="235" spans="23:27" x14ac:dyDescent="0.2">
      <c r="W235" t="s">
        <v>3</v>
      </c>
      <c r="X235" t="s">
        <v>35</v>
      </c>
      <c r="Y235" t="s">
        <v>29</v>
      </c>
      <c r="Z235" s="3">
        <v>2114</v>
      </c>
      <c r="AA235" s="4">
        <v>66</v>
      </c>
    </row>
    <row r="236" spans="23:27" x14ac:dyDescent="0.2">
      <c r="W236" t="s">
        <v>5</v>
      </c>
      <c r="X236" t="s">
        <v>36</v>
      </c>
      <c r="Y236" t="s">
        <v>13</v>
      </c>
      <c r="Z236" s="3">
        <v>6146</v>
      </c>
      <c r="AA236" s="4">
        <v>63</v>
      </c>
    </row>
    <row r="237" spans="23:27" x14ac:dyDescent="0.2">
      <c r="W237" t="s">
        <v>7</v>
      </c>
      <c r="X237" t="s">
        <v>35</v>
      </c>
      <c r="Y237" t="s">
        <v>14</v>
      </c>
      <c r="Z237" s="3">
        <v>4606</v>
      </c>
      <c r="AA237" s="4">
        <v>63</v>
      </c>
    </row>
    <row r="238" spans="23:27" x14ac:dyDescent="0.2">
      <c r="W238" t="s">
        <v>8</v>
      </c>
      <c r="X238" t="s">
        <v>38</v>
      </c>
      <c r="Y238" t="s">
        <v>27</v>
      </c>
      <c r="Z238" s="3">
        <v>2268</v>
      </c>
      <c r="AA238" s="4">
        <v>63</v>
      </c>
    </row>
    <row r="239" spans="23:27" x14ac:dyDescent="0.2">
      <c r="W239" t="s">
        <v>6</v>
      </c>
      <c r="X239" t="s">
        <v>39</v>
      </c>
      <c r="Y239" t="s">
        <v>30</v>
      </c>
      <c r="Z239" s="3">
        <v>1638</v>
      </c>
      <c r="AA239" s="4">
        <v>63</v>
      </c>
    </row>
    <row r="240" spans="23:27" x14ac:dyDescent="0.2">
      <c r="W240" t="s">
        <v>6</v>
      </c>
      <c r="X240" t="s">
        <v>36</v>
      </c>
      <c r="Y240" t="s">
        <v>21</v>
      </c>
      <c r="Z240" s="3">
        <v>497</v>
      </c>
      <c r="AA240" s="4">
        <v>63</v>
      </c>
    </row>
    <row r="241" spans="23:27" x14ac:dyDescent="0.2">
      <c r="W241" t="s">
        <v>9</v>
      </c>
      <c r="X241" t="s">
        <v>38</v>
      </c>
      <c r="Y241" t="s">
        <v>24</v>
      </c>
      <c r="Z241" s="3">
        <v>4137</v>
      </c>
      <c r="AA241" s="4">
        <v>60</v>
      </c>
    </row>
    <row r="242" spans="23:27" x14ac:dyDescent="0.2">
      <c r="W242" t="s">
        <v>9</v>
      </c>
      <c r="X242" t="s">
        <v>36</v>
      </c>
      <c r="Y242" t="s">
        <v>30</v>
      </c>
      <c r="Z242" s="3">
        <v>9051</v>
      </c>
      <c r="AA242" s="4">
        <v>57</v>
      </c>
    </row>
    <row r="243" spans="23:27" x14ac:dyDescent="0.2">
      <c r="W243" t="s">
        <v>5</v>
      </c>
      <c r="X243" t="s">
        <v>38</v>
      </c>
      <c r="Y243" t="s">
        <v>13</v>
      </c>
      <c r="Z243" s="3">
        <v>7189</v>
      </c>
      <c r="AA243" s="4">
        <v>54</v>
      </c>
    </row>
    <row r="244" spans="23:27" x14ac:dyDescent="0.2">
      <c r="W244" t="s">
        <v>7</v>
      </c>
      <c r="X244" t="s">
        <v>37</v>
      </c>
      <c r="Y244" t="s">
        <v>30</v>
      </c>
      <c r="Z244" s="3">
        <v>6454</v>
      </c>
      <c r="AA244" s="4">
        <v>54</v>
      </c>
    </row>
    <row r="245" spans="23:27" x14ac:dyDescent="0.2">
      <c r="W245" t="s">
        <v>3</v>
      </c>
      <c r="X245" t="s">
        <v>34</v>
      </c>
      <c r="Y245" t="s">
        <v>26</v>
      </c>
      <c r="Z245" s="3">
        <v>3108</v>
      </c>
      <c r="AA245" s="4">
        <v>54</v>
      </c>
    </row>
    <row r="246" spans="23:27" x14ac:dyDescent="0.2">
      <c r="W246" t="s">
        <v>6</v>
      </c>
      <c r="X246" t="s">
        <v>38</v>
      </c>
      <c r="Y246" t="s">
        <v>31</v>
      </c>
      <c r="Z246" s="3">
        <v>2681</v>
      </c>
      <c r="AA246" s="4">
        <v>54</v>
      </c>
    </row>
    <row r="247" spans="23:27" x14ac:dyDescent="0.2">
      <c r="W247" t="s">
        <v>2</v>
      </c>
      <c r="X247" t="s">
        <v>37</v>
      </c>
      <c r="Y247" t="s">
        <v>14</v>
      </c>
      <c r="Z247" s="3">
        <v>1057</v>
      </c>
      <c r="AA247" s="4">
        <v>54</v>
      </c>
    </row>
    <row r="248" spans="23:27" x14ac:dyDescent="0.2">
      <c r="W248" t="s">
        <v>2</v>
      </c>
      <c r="X248" t="s">
        <v>34</v>
      </c>
      <c r="Y248" t="s">
        <v>13</v>
      </c>
      <c r="Z248" s="3">
        <v>252</v>
      </c>
      <c r="AA248" s="4">
        <v>54</v>
      </c>
    </row>
    <row r="249" spans="23:27" x14ac:dyDescent="0.2">
      <c r="W249" t="s">
        <v>5</v>
      </c>
      <c r="X249" t="s">
        <v>39</v>
      </c>
      <c r="Y249" t="s">
        <v>26</v>
      </c>
      <c r="Z249" s="3">
        <v>5236</v>
      </c>
      <c r="AA249" s="4">
        <v>51</v>
      </c>
    </row>
    <row r="250" spans="23:27" x14ac:dyDescent="0.2">
      <c r="W250" t="s">
        <v>3</v>
      </c>
      <c r="X250" t="s">
        <v>39</v>
      </c>
      <c r="Y250" t="s">
        <v>29</v>
      </c>
      <c r="Z250" s="3">
        <v>3640</v>
      </c>
      <c r="AA250" s="4">
        <v>51</v>
      </c>
    </row>
    <row r="251" spans="23:27" x14ac:dyDescent="0.2">
      <c r="W251" t="s">
        <v>40</v>
      </c>
      <c r="X251" t="s">
        <v>38</v>
      </c>
      <c r="Y251" t="s">
        <v>24</v>
      </c>
      <c r="Z251" s="3">
        <v>623</v>
      </c>
      <c r="AA251" s="4">
        <v>51</v>
      </c>
    </row>
    <row r="252" spans="23:27" x14ac:dyDescent="0.2">
      <c r="W252" t="s">
        <v>2</v>
      </c>
      <c r="X252" t="s">
        <v>38</v>
      </c>
      <c r="Y252" t="s">
        <v>13</v>
      </c>
      <c r="Z252" s="3">
        <v>56</v>
      </c>
      <c r="AA252" s="4">
        <v>51</v>
      </c>
    </row>
    <row r="253" spans="23:27" x14ac:dyDescent="0.2">
      <c r="W253" t="s">
        <v>40</v>
      </c>
      <c r="X253" t="s">
        <v>34</v>
      </c>
      <c r="Y253" t="s">
        <v>26</v>
      </c>
      <c r="Z253" s="3">
        <v>6748</v>
      </c>
      <c r="AA253" s="4">
        <v>48</v>
      </c>
    </row>
    <row r="254" spans="23:27" x14ac:dyDescent="0.2">
      <c r="W254" t="s">
        <v>7</v>
      </c>
      <c r="X254" t="s">
        <v>37</v>
      </c>
      <c r="Y254" t="s">
        <v>33</v>
      </c>
      <c r="Z254" s="3">
        <v>6391</v>
      </c>
      <c r="AA254" s="4">
        <v>48</v>
      </c>
    </row>
    <row r="255" spans="23:27" x14ac:dyDescent="0.2">
      <c r="W255" t="s">
        <v>7</v>
      </c>
      <c r="X255" t="s">
        <v>34</v>
      </c>
      <c r="Y255" t="s">
        <v>33</v>
      </c>
      <c r="Z255" s="3">
        <v>2226</v>
      </c>
      <c r="AA255" s="4">
        <v>48</v>
      </c>
    </row>
    <row r="256" spans="23:27" x14ac:dyDescent="0.2">
      <c r="W256" t="s">
        <v>40</v>
      </c>
      <c r="X256" t="s">
        <v>35</v>
      </c>
      <c r="Y256" t="s">
        <v>24</v>
      </c>
      <c r="Z256" s="3">
        <v>1638</v>
      </c>
      <c r="AA256" s="4">
        <v>48</v>
      </c>
    </row>
    <row r="257" spans="23:27" x14ac:dyDescent="0.2">
      <c r="W257" t="s">
        <v>6</v>
      </c>
      <c r="X257" t="s">
        <v>34</v>
      </c>
      <c r="Y257" t="s">
        <v>4</v>
      </c>
      <c r="Z257" s="3">
        <v>525</v>
      </c>
      <c r="AA257" s="4">
        <v>48</v>
      </c>
    </row>
    <row r="258" spans="23:27" x14ac:dyDescent="0.2">
      <c r="W258" t="s">
        <v>2</v>
      </c>
      <c r="X258" t="s">
        <v>36</v>
      </c>
      <c r="Y258" t="s">
        <v>17</v>
      </c>
      <c r="Z258" s="3">
        <v>189</v>
      </c>
      <c r="AA258" s="4">
        <v>48</v>
      </c>
    </row>
    <row r="259" spans="23:27" x14ac:dyDescent="0.2">
      <c r="W259" t="s">
        <v>5</v>
      </c>
      <c r="X259" t="s">
        <v>37</v>
      </c>
      <c r="Y259" t="s">
        <v>31</v>
      </c>
      <c r="Z259" s="3">
        <v>182</v>
      </c>
      <c r="AA259" s="4">
        <v>48</v>
      </c>
    </row>
    <row r="260" spans="23:27" x14ac:dyDescent="0.2">
      <c r="W260" t="s">
        <v>5</v>
      </c>
      <c r="X260" t="s">
        <v>38</v>
      </c>
      <c r="Y260" t="s">
        <v>25</v>
      </c>
      <c r="Z260" s="3">
        <v>7483</v>
      </c>
      <c r="AA260" s="4">
        <v>45</v>
      </c>
    </row>
    <row r="261" spans="23:27" x14ac:dyDescent="0.2">
      <c r="W261" t="s">
        <v>8</v>
      </c>
      <c r="X261" t="s">
        <v>37</v>
      </c>
      <c r="Y261" t="s">
        <v>26</v>
      </c>
      <c r="Z261" s="3">
        <v>6279</v>
      </c>
      <c r="AA261" s="4">
        <v>45</v>
      </c>
    </row>
    <row r="262" spans="23:27" x14ac:dyDescent="0.2">
      <c r="W262" t="s">
        <v>9</v>
      </c>
      <c r="X262" t="s">
        <v>37</v>
      </c>
      <c r="Y262" t="s">
        <v>28</v>
      </c>
      <c r="Z262" s="3">
        <v>2919</v>
      </c>
      <c r="AA262" s="4">
        <v>45</v>
      </c>
    </row>
    <row r="263" spans="23:27" x14ac:dyDescent="0.2">
      <c r="W263" t="s">
        <v>40</v>
      </c>
      <c r="X263" t="s">
        <v>38</v>
      </c>
      <c r="Y263" t="s">
        <v>29</v>
      </c>
      <c r="Z263" s="3">
        <v>2541</v>
      </c>
      <c r="AA263" s="4">
        <v>45</v>
      </c>
    </row>
    <row r="264" spans="23:27" x14ac:dyDescent="0.2">
      <c r="W264" t="s">
        <v>7</v>
      </c>
      <c r="X264" t="s">
        <v>36</v>
      </c>
      <c r="Y264" t="s">
        <v>22</v>
      </c>
      <c r="Z264" s="3">
        <v>8435</v>
      </c>
      <c r="AA264" s="4">
        <v>42</v>
      </c>
    </row>
    <row r="265" spans="23:27" x14ac:dyDescent="0.2">
      <c r="W265" t="s">
        <v>3</v>
      </c>
      <c r="X265" t="s">
        <v>34</v>
      </c>
      <c r="Y265" t="s">
        <v>25</v>
      </c>
      <c r="Z265" s="3">
        <v>6300</v>
      </c>
      <c r="AA265" s="4">
        <v>42</v>
      </c>
    </row>
    <row r="266" spans="23:27" x14ac:dyDescent="0.2">
      <c r="W266" t="s">
        <v>40</v>
      </c>
      <c r="X266" t="s">
        <v>39</v>
      </c>
      <c r="Y266" t="s">
        <v>15</v>
      </c>
      <c r="Z266" s="3">
        <v>5775</v>
      </c>
      <c r="AA266" s="4">
        <v>42</v>
      </c>
    </row>
    <row r="267" spans="23:27" x14ac:dyDescent="0.2">
      <c r="W267" t="s">
        <v>2</v>
      </c>
      <c r="X267" t="s">
        <v>37</v>
      </c>
      <c r="Y267" t="s">
        <v>15</v>
      </c>
      <c r="Z267" s="3">
        <v>2863</v>
      </c>
      <c r="AA267" s="4">
        <v>42</v>
      </c>
    </row>
    <row r="268" spans="23:27" x14ac:dyDescent="0.2">
      <c r="W268" t="s">
        <v>7</v>
      </c>
      <c r="X268" t="s">
        <v>34</v>
      </c>
      <c r="Y268" t="s">
        <v>17</v>
      </c>
      <c r="Z268" s="3">
        <v>7777</v>
      </c>
      <c r="AA268" s="4">
        <v>39</v>
      </c>
    </row>
    <row r="269" spans="23:27" x14ac:dyDescent="0.2">
      <c r="W269" t="s">
        <v>3</v>
      </c>
      <c r="X269" t="s">
        <v>36</v>
      </c>
      <c r="Y269" t="s">
        <v>25</v>
      </c>
      <c r="Z269" s="3">
        <v>3339</v>
      </c>
      <c r="AA269" s="4">
        <v>39</v>
      </c>
    </row>
    <row r="270" spans="23:27" x14ac:dyDescent="0.2">
      <c r="W270" t="s">
        <v>40</v>
      </c>
      <c r="X270" t="s">
        <v>38</v>
      </c>
      <c r="Y270" t="s">
        <v>31</v>
      </c>
      <c r="Z270" s="3">
        <v>1988</v>
      </c>
      <c r="AA270" s="4">
        <v>39</v>
      </c>
    </row>
    <row r="271" spans="23:27" x14ac:dyDescent="0.2">
      <c r="W271" t="s">
        <v>41</v>
      </c>
      <c r="X271" t="s">
        <v>34</v>
      </c>
      <c r="Y271" t="s">
        <v>17</v>
      </c>
      <c r="Z271" s="3">
        <v>1463</v>
      </c>
      <c r="AA271" s="4">
        <v>39</v>
      </c>
    </row>
    <row r="272" spans="23:27" x14ac:dyDescent="0.2">
      <c r="W272" t="s">
        <v>3</v>
      </c>
      <c r="X272" t="s">
        <v>36</v>
      </c>
      <c r="Y272" t="s">
        <v>16</v>
      </c>
      <c r="Z272" s="3">
        <v>9198</v>
      </c>
      <c r="AA272" s="4">
        <v>36</v>
      </c>
    </row>
    <row r="273" spans="23:27" x14ac:dyDescent="0.2">
      <c r="W273" t="s">
        <v>6</v>
      </c>
      <c r="X273" t="s">
        <v>38</v>
      </c>
      <c r="Y273" t="s">
        <v>21</v>
      </c>
      <c r="Z273" s="3">
        <v>7322</v>
      </c>
      <c r="AA273" s="4">
        <v>36</v>
      </c>
    </row>
    <row r="274" spans="23:27" x14ac:dyDescent="0.2">
      <c r="W274" t="s">
        <v>2</v>
      </c>
      <c r="X274" t="s">
        <v>39</v>
      </c>
      <c r="Y274" t="s">
        <v>15</v>
      </c>
      <c r="Z274" s="3">
        <v>4802</v>
      </c>
      <c r="AA274" s="4">
        <v>36</v>
      </c>
    </row>
    <row r="275" spans="23:27" x14ac:dyDescent="0.2">
      <c r="W275" t="s">
        <v>2</v>
      </c>
      <c r="X275" t="s">
        <v>39</v>
      </c>
      <c r="Y275" t="s">
        <v>23</v>
      </c>
      <c r="Z275" s="3">
        <v>630</v>
      </c>
      <c r="AA275" s="4">
        <v>36</v>
      </c>
    </row>
    <row r="276" spans="23:27" x14ac:dyDescent="0.2">
      <c r="W276" t="s">
        <v>40</v>
      </c>
      <c r="X276" t="s">
        <v>36</v>
      </c>
      <c r="Y276" t="s">
        <v>4</v>
      </c>
      <c r="Z276" s="3">
        <v>217</v>
      </c>
      <c r="AA276" s="4">
        <v>36</v>
      </c>
    </row>
    <row r="277" spans="23:27" x14ac:dyDescent="0.2">
      <c r="W277" t="s">
        <v>8</v>
      </c>
      <c r="X277" t="s">
        <v>37</v>
      </c>
      <c r="Y277" t="s">
        <v>15</v>
      </c>
      <c r="Z277" s="3">
        <v>9709</v>
      </c>
      <c r="AA277" s="4">
        <v>30</v>
      </c>
    </row>
    <row r="278" spans="23:27" x14ac:dyDescent="0.2">
      <c r="W278" t="s">
        <v>40</v>
      </c>
      <c r="X278" t="s">
        <v>39</v>
      </c>
      <c r="Y278" t="s">
        <v>27</v>
      </c>
      <c r="Z278" s="3">
        <v>6370</v>
      </c>
      <c r="AA278" s="4">
        <v>30</v>
      </c>
    </row>
    <row r="279" spans="23:27" x14ac:dyDescent="0.2">
      <c r="W279" t="s">
        <v>40</v>
      </c>
      <c r="X279" t="s">
        <v>36</v>
      </c>
      <c r="Y279" t="s">
        <v>25</v>
      </c>
      <c r="Z279" s="3">
        <v>5439</v>
      </c>
      <c r="AA279" s="4">
        <v>30</v>
      </c>
    </row>
    <row r="280" spans="23:27" x14ac:dyDescent="0.2">
      <c r="W280" t="s">
        <v>10</v>
      </c>
      <c r="X280" t="s">
        <v>37</v>
      </c>
      <c r="Y280" t="s">
        <v>23</v>
      </c>
      <c r="Z280" s="3">
        <v>4683</v>
      </c>
      <c r="AA280" s="4">
        <v>30</v>
      </c>
    </row>
    <row r="281" spans="23:27" x14ac:dyDescent="0.2">
      <c r="W281" t="s">
        <v>6</v>
      </c>
      <c r="X281" t="s">
        <v>36</v>
      </c>
      <c r="Y281" t="s">
        <v>13</v>
      </c>
      <c r="Z281" s="3">
        <v>4319</v>
      </c>
      <c r="AA281" s="4">
        <v>30</v>
      </c>
    </row>
    <row r="282" spans="23:27" x14ac:dyDescent="0.2">
      <c r="W282" t="s">
        <v>8</v>
      </c>
      <c r="X282" t="s">
        <v>39</v>
      </c>
      <c r="Y282" t="s">
        <v>18</v>
      </c>
      <c r="Z282" s="3">
        <v>9660</v>
      </c>
      <c r="AA282" s="4">
        <v>27</v>
      </c>
    </row>
    <row r="283" spans="23:27" x14ac:dyDescent="0.2">
      <c r="W283" t="s">
        <v>9</v>
      </c>
      <c r="X283" t="s">
        <v>34</v>
      </c>
      <c r="Y283" t="s">
        <v>21</v>
      </c>
      <c r="Z283" s="3">
        <v>6832</v>
      </c>
      <c r="AA283" s="4">
        <v>27</v>
      </c>
    </row>
    <row r="284" spans="23:27" x14ac:dyDescent="0.2">
      <c r="W284" t="s">
        <v>6</v>
      </c>
      <c r="X284" t="s">
        <v>39</v>
      </c>
      <c r="Y284" t="s">
        <v>17</v>
      </c>
      <c r="Z284" s="3">
        <v>6048</v>
      </c>
      <c r="AA284" s="4">
        <v>27</v>
      </c>
    </row>
    <row r="285" spans="23:27" x14ac:dyDescent="0.2">
      <c r="W285" t="s">
        <v>10</v>
      </c>
      <c r="X285" t="s">
        <v>37</v>
      </c>
      <c r="Y285" t="s">
        <v>28</v>
      </c>
      <c r="Z285" s="3">
        <v>3059</v>
      </c>
      <c r="AA285" s="4">
        <v>27</v>
      </c>
    </row>
    <row r="286" spans="23:27" x14ac:dyDescent="0.2">
      <c r="W286" t="s">
        <v>7</v>
      </c>
      <c r="X286" t="s">
        <v>35</v>
      </c>
      <c r="Y286" t="s">
        <v>16</v>
      </c>
      <c r="Z286" s="3">
        <v>2135</v>
      </c>
      <c r="AA286" s="4">
        <v>27</v>
      </c>
    </row>
    <row r="287" spans="23:27" x14ac:dyDescent="0.2">
      <c r="W287" t="s">
        <v>8</v>
      </c>
      <c r="X287" t="s">
        <v>39</v>
      </c>
      <c r="Y287" t="s">
        <v>26</v>
      </c>
      <c r="Z287" s="3">
        <v>1561</v>
      </c>
      <c r="AA287" s="4">
        <v>27</v>
      </c>
    </row>
    <row r="288" spans="23:27" x14ac:dyDescent="0.2">
      <c r="W288" t="s">
        <v>10</v>
      </c>
      <c r="X288" t="s">
        <v>34</v>
      </c>
      <c r="Y288" t="s">
        <v>22</v>
      </c>
      <c r="Z288" s="3">
        <v>4053</v>
      </c>
      <c r="AA288" s="4">
        <v>24</v>
      </c>
    </row>
    <row r="289" spans="23:27" x14ac:dyDescent="0.2">
      <c r="W289" t="s">
        <v>7</v>
      </c>
      <c r="X289" t="s">
        <v>34</v>
      </c>
      <c r="Y289" t="s">
        <v>15</v>
      </c>
      <c r="Z289" s="3">
        <v>3829</v>
      </c>
      <c r="AA289" s="4">
        <v>24</v>
      </c>
    </row>
    <row r="290" spans="23:27" x14ac:dyDescent="0.2">
      <c r="W290" t="s">
        <v>5</v>
      </c>
      <c r="X290" t="s">
        <v>37</v>
      </c>
      <c r="Y290" t="s">
        <v>25</v>
      </c>
      <c r="Z290" s="3">
        <v>8813</v>
      </c>
      <c r="AA290" s="4">
        <v>21</v>
      </c>
    </row>
    <row r="291" spans="23:27" x14ac:dyDescent="0.2">
      <c r="W291" t="s">
        <v>40</v>
      </c>
      <c r="X291" t="s">
        <v>37</v>
      </c>
      <c r="Y291" t="s">
        <v>19</v>
      </c>
      <c r="Z291" s="3">
        <v>7693</v>
      </c>
      <c r="AA291" s="4">
        <v>21</v>
      </c>
    </row>
    <row r="292" spans="23:27" x14ac:dyDescent="0.2">
      <c r="W292" t="s">
        <v>5</v>
      </c>
      <c r="X292" t="s">
        <v>34</v>
      </c>
      <c r="Y292" t="s">
        <v>27</v>
      </c>
      <c r="Z292" s="3">
        <v>6986</v>
      </c>
      <c r="AA292" s="4">
        <v>21</v>
      </c>
    </row>
    <row r="293" spans="23:27" x14ac:dyDescent="0.2">
      <c r="W293" t="s">
        <v>5</v>
      </c>
      <c r="X293" t="s">
        <v>38</v>
      </c>
      <c r="Y293" t="s">
        <v>32</v>
      </c>
      <c r="Z293" s="3">
        <v>5075</v>
      </c>
      <c r="AA293" s="4">
        <v>21</v>
      </c>
    </row>
    <row r="294" spans="23:27" x14ac:dyDescent="0.2">
      <c r="W294" t="s">
        <v>7</v>
      </c>
      <c r="X294" t="s">
        <v>35</v>
      </c>
      <c r="Y294" t="s">
        <v>27</v>
      </c>
      <c r="Z294" s="3">
        <v>2478</v>
      </c>
      <c r="AA294" s="4">
        <v>21</v>
      </c>
    </row>
    <row r="295" spans="23:27" x14ac:dyDescent="0.2">
      <c r="W295" t="s">
        <v>41</v>
      </c>
      <c r="X295" t="s">
        <v>38</v>
      </c>
      <c r="Y295" t="s">
        <v>25</v>
      </c>
      <c r="Z295" s="3">
        <v>154</v>
      </c>
      <c r="AA295" s="4">
        <v>21</v>
      </c>
    </row>
    <row r="296" spans="23:27" x14ac:dyDescent="0.2">
      <c r="W296" t="s">
        <v>3</v>
      </c>
      <c r="X296" t="s">
        <v>34</v>
      </c>
      <c r="Y296" t="s">
        <v>20</v>
      </c>
      <c r="Z296" s="3">
        <v>2583</v>
      </c>
      <c r="AA296" s="4">
        <v>18</v>
      </c>
    </row>
    <row r="297" spans="23:27" x14ac:dyDescent="0.2">
      <c r="W297" t="s">
        <v>3</v>
      </c>
      <c r="X297" t="s">
        <v>36</v>
      </c>
      <c r="Y297" t="s">
        <v>19</v>
      </c>
      <c r="Z297" s="3">
        <v>1281</v>
      </c>
      <c r="AA297" s="4">
        <v>18</v>
      </c>
    </row>
    <row r="298" spans="23:27" x14ac:dyDescent="0.2">
      <c r="W298" t="s">
        <v>2</v>
      </c>
      <c r="X298" t="s">
        <v>37</v>
      </c>
      <c r="Y298" t="s">
        <v>19</v>
      </c>
      <c r="Z298" s="3">
        <v>238</v>
      </c>
      <c r="AA298" s="4">
        <v>18</v>
      </c>
    </row>
    <row r="299" spans="23:27" x14ac:dyDescent="0.2">
      <c r="W299" t="s">
        <v>5</v>
      </c>
      <c r="X299" t="s">
        <v>36</v>
      </c>
      <c r="Y299" t="s">
        <v>23</v>
      </c>
      <c r="Z299" s="3">
        <v>6314</v>
      </c>
      <c r="AA299" s="4">
        <v>15</v>
      </c>
    </row>
    <row r="300" spans="23:27" x14ac:dyDescent="0.2">
      <c r="W300" t="s">
        <v>5</v>
      </c>
      <c r="X300" t="s">
        <v>35</v>
      </c>
      <c r="Y300" t="s">
        <v>18</v>
      </c>
      <c r="Z300" s="3">
        <v>2415</v>
      </c>
      <c r="AA300" s="4">
        <v>15</v>
      </c>
    </row>
    <row r="301" spans="23:27" x14ac:dyDescent="0.2">
      <c r="W301" t="s">
        <v>6</v>
      </c>
      <c r="X301" t="s">
        <v>34</v>
      </c>
      <c r="Y301" t="s">
        <v>15</v>
      </c>
      <c r="Z301" s="3">
        <v>1442</v>
      </c>
      <c r="AA301" s="4">
        <v>15</v>
      </c>
    </row>
    <row r="302" spans="23:27" x14ac:dyDescent="0.2">
      <c r="W302" t="s">
        <v>2</v>
      </c>
      <c r="X302" t="s">
        <v>35</v>
      </c>
      <c r="Y302" t="s">
        <v>19</v>
      </c>
      <c r="Z302" s="3">
        <v>553</v>
      </c>
      <c r="AA302" s="4">
        <v>15</v>
      </c>
    </row>
    <row r="303" spans="23:27" x14ac:dyDescent="0.2">
      <c r="W303" t="s">
        <v>40</v>
      </c>
      <c r="X303" t="s">
        <v>39</v>
      </c>
      <c r="Y303" t="s">
        <v>22</v>
      </c>
      <c r="Z303" s="3">
        <v>5817</v>
      </c>
      <c r="AA303" s="4">
        <v>12</v>
      </c>
    </row>
    <row r="304" spans="23:27" x14ac:dyDescent="0.2">
      <c r="W304" t="s">
        <v>5</v>
      </c>
      <c r="X304" t="s">
        <v>37</v>
      </c>
      <c r="Y304" t="s">
        <v>14</v>
      </c>
      <c r="Z304" s="3">
        <v>4991</v>
      </c>
      <c r="AA304" s="4">
        <v>12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7A35-DD46-4C1D-A9FA-5CC1922810DC}">
  <dimension ref="A1:L17"/>
  <sheetViews>
    <sheetView workbookViewId="0">
      <selection activeCell="J11" sqref="J11"/>
    </sheetView>
  </sheetViews>
  <sheetFormatPr baseColWidth="10" defaultColWidth="8.83203125" defaultRowHeight="15" x14ac:dyDescent="0.2"/>
  <cols>
    <col min="6" max="6" width="15.6640625" bestFit="1" customWidth="1"/>
    <col min="7" max="7" width="14" bestFit="1" customWidth="1"/>
    <col min="11" max="11" width="14.33203125" bestFit="1" customWidth="1"/>
    <col min="12" max="12" width="14" bestFit="1" customWidth="1"/>
  </cols>
  <sheetData>
    <row r="1" spans="1:12" s="1" customFormat="1" ht="52.5" customHeight="1" x14ac:dyDescent="0.2">
      <c r="A1" s="11"/>
      <c r="C1" s="2" t="s">
        <v>69</v>
      </c>
    </row>
    <row r="4" spans="1:12" x14ac:dyDescent="0.2">
      <c r="F4" s="17" t="s">
        <v>72</v>
      </c>
      <c r="G4" t="s">
        <v>74</v>
      </c>
      <c r="K4" s="17" t="s">
        <v>72</v>
      </c>
      <c r="L4" t="s">
        <v>74</v>
      </c>
    </row>
    <row r="5" spans="1:12" x14ac:dyDescent="0.2">
      <c r="F5" s="18" t="s">
        <v>38</v>
      </c>
      <c r="G5" s="26"/>
      <c r="K5" s="18" t="s">
        <v>38</v>
      </c>
      <c r="L5" s="26"/>
    </row>
    <row r="6" spans="1:12" x14ac:dyDescent="0.2">
      <c r="F6" s="25" t="s">
        <v>5</v>
      </c>
      <c r="G6" s="27">
        <v>25221</v>
      </c>
      <c r="K6" s="25" t="s">
        <v>5</v>
      </c>
      <c r="L6" s="27">
        <v>25221</v>
      </c>
    </row>
    <row r="7" spans="1:12" x14ac:dyDescent="0.2">
      <c r="F7" s="18" t="s">
        <v>36</v>
      </c>
      <c r="G7" s="26"/>
      <c r="K7" s="18" t="s">
        <v>73</v>
      </c>
      <c r="L7" s="27">
        <v>25221</v>
      </c>
    </row>
    <row r="8" spans="1:12" x14ac:dyDescent="0.2">
      <c r="F8" s="25" t="s">
        <v>5</v>
      </c>
      <c r="G8" s="27">
        <v>39620</v>
      </c>
    </row>
    <row r="9" spans="1:12" x14ac:dyDescent="0.2">
      <c r="F9" s="18" t="s">
        <v>34</v>
      </c>
      <c r="G9" s="26"/>
    </row>
    <row r="10" spans="1:12" x14ac:dyDescent="0.2">
      <c r="F10" s="25" t="s">
        <v>5</v>
      </c>
      <c r="G10" s="27">
        <v>41559</v>
      </c>
      <c r="J10" t="s">
        <v>78</v>
      </c>
    </row>
    <row r="11" spans="1:12" x14ac:dyDescent="0.2">
      <c r="F11" s="18" t="s">
        <v>37</v>
      </c>
      <c r="G11" s="26"/>
    </row>
    <row r="12" spans="1:12" x14ac:dyDescent="0.2">
      <c r="F12" s="25" t="s">
        <v>7</v>
      </c>
      <c r="G12" s="27">
        <v>43568</v>
      </c>
    </row>
    <row r="13" spans="1:12" x14ac:dyDescent="0.2">
      <c r="F13" s="18" t="s">
        <v>39</v>
      </c>
      <c r="G13" s="26"/>
    </row>
    <row r="14" spans="1:12" x14ac:dyDescent="0.2">
      <c r="F14" s="25" t="s">
        <v>2</v>
      </c>
      <c r="G14" s="27">
        <v>45752</v>
      </c>
    </row>
    <row r="15" spans="1:12" x14ac:dyDescent="0.2">
      <c r="F15" s="18" t="s">
        <v>35</v>
      </c>
      <c r="G15" s="26"/>
    </row>
    <row r="16" spans="1:12" x14ac:dyDescent="0.2">
      <c r="F16" s="25" t="s">
        <v>40</v>
      </c>
      <c r="G16" s="27">
        <v>38325</v>
      </c>
    </row>
    <row r="17" spans="6:7" x14ac:dyDescent="0.2">
      <c r="F17" s="18" t="s">
        <v>73</v>
      </c>
      <c r="G17" s="27">
        <v>234045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839E9-2A61-4288-876A-0F5EC0EF20BD}">
  <dimension ref="A1:E27"/>
  <sheetViews>
    <sheetView workbookViewId="0">
      <selection activeCell="E4" sqref="E4"/>
    </sheetView>
  </sheetViews>
  <sheetFormatPr baseColWidth="10" defaultColWidth="8.83203125" defaultRowHeight="15" x14ac:dyDescent="0.2"/>
  <cols>
    <col min="4" max="4" width="20.33203125" bestFit="1" customWidth="1"/>
    <col min="5" max="5" width="10.6640625" bestFit="1" customWidth="1"/>
    <col min="6" max="7" width="11.33203125" bestFit="1" customWidth="1"/>
  </cols>
  <sheetData>
    <row r="1" spans="1:5" s="1" customFormat="1" ht="52.5" customHeight="1" x14ac:dyDescent="0.2">
      <c r="A1" s="11"/>
      <c r="C1" s="2" t="s">
        <v>70</v>
      </c>
    </row>
    <row r="4" spans="1:5" x14ac:dyDescent="0.2">
      <c r="D4" s="17" t="s">
        <v>72</v>
      </c>
      <c r="E4" t="s">
        <v>81</v>
      </c>
    </row>
    <row r="5" spans="1:5" x14ac:dyDescent="0.2">
      <c r="D5" s="18" t="s">
        <v>14</v>
      </c>
      <c r="E5" s="28">
        <v>19525.599999999999</v>
      </c>
    </row>
    <row r="6" spans="1:5" x14ac:dyDescent="0.2">
      <c r="D6" s="18" t="s">
        <v>30</v>
      </c>
      <c r="E6" s="28">
        <v>25899.019999999997</v>
      </c>
    </row>
    <row r="7" spans="1:5" x14ac:dyDescent="0.2">
      <c r="D7" s="18" t="s">
        <v>24</v>
      </c>
      <c r="E7" s="28">
        <v>30189.32</v>
      </c>
    </row>
    <row r="8" spans="1:5" x14ac:dyDescent="0.2">
      <c r="D8" s="18" t="s">
        <v>19</v>
      </c>
      <c r="E8" s="28">
        <v>29800.16</v>
      </c>
    </row>
    <row r="9" spans="1:5" x14ac:dyDescent="0.2">
      <c r="D9" s="18" t="s">
        <v>22</v>
      </c>
      <c r="E9" s="28">
        <v>46234.960000000006</v>
      </c>
    </row>
    <row r="10" spans="1:5" x14ac:dyDescent="0.2">
      <c r="D10" s="18" t="s">
        <v>4</v>
      </c>
      <c r="E10" s="28">
        <v>14946.919999999998</v>
      </c>
    </row>
    <row r="11" spans="1:5" x14ac:dyDescent="0.2">
      <c r="D11" s="18" t="s">
        <v>26</v>
      </c>
      <c r="E11" s="28">
        <v>58277.8</v>
      </c>
    </row>
    <row r="12" spans="1:5" x14ac:dyDescent="0.2">
      <c r="D12" s="18" t="s">
        <v>28</v>
      </c>
      <c r="E12" s="28">
        <v>39084.339999999989</v>
      </c>
    </row>
    <row r="13" spans="1:5" x14ac:dyDescent="0.2">
      <c r="D13" s="18" t="s">
        <v>32</v>
      </c>
      <c r="E13" s="28">
        <v>52063.35</v>
      </c>
    </row>
    <row r="14" spans="1:5" x14ac:dyDescent="0.2">
      <c r="D14" s="18" t="s">
        <v>18</v>
      </c>
      <c r="E14" s="28">
        <v>40814.559999999998</v>
      </c>
    </row>
    <row r="15" spans="1:5" x14ac:dyDescent="0.2">
      <c r="D15" s="18" t="s">
        <v>17</v>
      </c>
      <c r="E15" s="28">
        <v>56471.590000000004</v>
      </c>
    </row>
    <row r="16" spans="1:5" x14ac:dyDescent="0.2">
      <c r="D16" s="18" t="s">
        <v>23</v>
      </c>
      <c r="E16" s="28">
        <v>44884.119999999995</v>
      </c>
    </row>
    <row r="17" spans="4:5" x14ac:dyDescent="0.2">
      <c r="D17" s="18" t="s">
        <v>29</v>
      </c>
      <c r="E17" s="28">
        <v>36700.839999999997</v>
      </c>
    </row>
    <row r="18" spans="4:5" x14ac:dyDescent="0.2">
      <c r="D18" s="18" t="s">
        <v>13</v>
      </c>
      <c r="E18" s="28">
        <v>29721.269999999997</v>
      </c>
    </row>
    <row r="19" spans="4:5" x14ac:dyDescent="0.2">
      <c r="D19" s="18" t="s">
        <v>16</v>
      </c>
      <c r="E19" s="28">
        <v>43177.34</v>
      </c>
    </row>
    <row r="20" spans="4:5" x14ac:dyDescent="0.2">
      <c r="D20" s="18" t="s">
        <v>20</v>
      </c>
      <c r="E20" s="28">
        <v>31390.480000000003</v>
      </c>
    </row>
    <row r="21" spans="4:5" x14ac:dyDescent="0.2">
      <c r="D21" s="18" t="s">
        <v>27</v>
      </c>
      <c r="E21" s="28">
        <v>19572.14</v>
      </c>
    </row>
    <row r="22" spans="4:5" x14ac:dyDescent="0.2">
      <c r="D22" s="18" t="s">
        <v>33</v>
      </c>
      <c r="E22" s="28">
        <v>46226.020000000004</v>
      </c>
    </row>
    <row r="23" spans="4:5" x14ac:dyDescent="0.2">
      <c r="D23" s="18" t="s">
        <v>15</v>
      </c>
      <c r="E23" s="28">
        <v>50988.909999999996</v>
      </c>
    </row>
    <row r="24" spans="4:5" x14ac:dyDescent="0.2">
      <c r="D24" s="18" t="s">
        <v>31</v>
      </c>
      <c r="E24" s="28">
        <v>29518.43</v>
      </c>
    </row>
    <row r="25" spans="4:5" x14ac:dyDescent="0.2">
      <c r="D25" s="18" t="s">
        <v>21</v>
      </c>
      <c r="E25" s="28">
        <v>26000</v>
      </c>
    </row>
    <row r="26" spans="4:5" x14ac:dyDescent="0.2">
      <c r="D26" s="18" t="s">
        <v>25</v>
      </c>
      <c r="E26" s="28">
        <v>29678.1</v>
      </c>
    </row>
    <row r="27" spans="4:5" x14ac:dyDescent="0.2">
      <c r="D27" s="18" t="s">
        <v>73</v>
      </c>
      <c r="E27" s="28">
        <v>801165.27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AFEE-1D2E-4730-AAE9-523674965212}">
  <dimension ref="A1:X15"/>
  <sheetViews>
    <sheetView workbookViewId="0">
      <selection activeCell="J17" sqref="J17"/>
    </sheetView>
  </sheetViews>
  <sheetFormatPr baseColWidth="10" defaultColWidth="8.83203125" defaultRowHeight="15" x14ac:dyDescent="0.2"/>
  <cols>
    <col min="3" max="3" width="23.6640625" customWidth="1"/>
    <col min="4" max="4" width="12.33203125" bestFit="1" customWidth="1"/>
    <col min="5" max="5" width="10.33203125" bestFit="1" customWidth="1"/>
    <col min="9" max="9" width="15.5" customWidth="1"/>
    <col min="21" max="21" width="12.5" bestFit="1" customWidth="1"/>
    <col min="24" max="24" width="16" bestFit="1" customWidth="1"/>
  </cols>
  <sheetData>
    <row r="1" spans="1:24" s="1" customFormat="1" ht="52.5" customHeight="1" x14ac:dyDescent="0.2">
      <c r="A1" s="11"/>
      <c r="C1" s="2" t="s">
        <v>71</v>
      </c>
    </row>
    <row r="3" spans="1:24" ht="16" thickBot="1" x14ac:dyDescent="0.25"/>
    <row r="4" spans="1:24" ht="16" thickBot="1" x14ac:dyDescent="0.25">
      <c r="C4" s="30" t="s">
        <v>82</v>
      </c>
      <c r="E4" s="32" t="s">
        <v>39</v>
      </c>
      <c r="I4" s="30" t="s">
        <v>90</v>
      </c>
      <c r="J4" s="30"/>
      <c r="K4" s="30"/>
      <c r="L4" s="30"/>
      <c r="M4" s="30"/>
      <c r="U4" s="29" t="s">
        <v>12</v>
      </c>
      <c r="X4" s="24" t="s">
        <v>11</v>
      </c>
    </row>
    <row r="5" spans="1:24" x14ac:dyDescent="0.2">
      <c r="J5" t="s">
        <v>76</v>
      </c>
      <c r="K5" t="s">
        <v>1</v>
      </c>
      <c r="L5" t="s">
        <v>49</v>
      </c>
      <c r="U5" s="21" t="s">
        <v>36</v>
      </c>
      <c r="X5" s="20" t="s">
        <v>5</v>
      </c>
    </row>
    <row r="6" spans="1:24" x14ac:dyDescent="0.2">
      <c r="I6" t="s">
        <v>5</v>
      </c>
      <c r="K6">
        <v>130000</v>
      </c>
      <c r="M6" s="31">
        <f>IF(K6&gt;12000,1,-1)</f>
        <v>1</v>
      </c>
      <c r="U6" s="22" t="s">
        <v>38</v>
      </c>
      <c r="X6" s="23" t="s">
        <v>41</v>
      </c>
    </row>
    <row r="7" spans="1:24" x14ac:dyDescent="0.2">
      <c r="C7" t="s">
        <v>83</v>
      </c>
      <c r="E7">
        <f>COUNTIFS(data[Geography],E4)</f>
        <v>40</v>
      </c>
      <c r="I7" t="s">
        <v>41</v>
      </c>
      <c r="U7" s="22" t="s">
        <v>39</v>
      </c>
      <c r="X7" s="20" t="s">
        <v>2</v>
      </c>
    </row>
    <row r="8" spans="1:24" x14ac:dyDescent="0.2">
      <c r="I8" t="s">
        <v>2</v>
      </c>
      <c r="U8" s="21" t="s">
        <v>37</v>
      </c>
      <c r="X8" s="23" t="s">
        <v>6</v>
      </c>
    </row>
    <row r="9" spans="1:24" x14ac:dyDescent="0.2">
      <c r="C9" s="30"/>
      <c r="D9" s="30" t="s">
        <v>84</v>
      </c>
      <c r="E9" s="30" t="s">
        <v>85</v>
      </c>
      <c r="I9" t="s">
        <v>6</v>
      </c>
      <c r="U9" s="21" t="s">
        <v>34</v>
      </c>
      <c r="X9" s="20" t="s">
        <v>7</v>
      </c>
    </row>
    <row r="10" spans="1:24" x14ac:dyDescent="0.2">
      <c r="C10" t="s">
        <v>88</v>
      </c>
      <c r="D10" s="27">
        <f>SUMIFS(data[Amount], data[Geography],E$4)</f>
        <v>173530</v>
      </c>
      <c r="E10" s="27">
        <f>AVERAGEIFS(data[Amount], data[Geography],E$4)</f>
        <v>4338.25</v>
      </c>
      <c r="I10" t="s">
        <v>7</v>
      </c>
      <c r="U10" s="21" t="s">
        <v>35</v>
      </c>
      <c r="X10" s="20" t="s">
        <v>10</v>
      </c>
    </row>
    <row r="11" spans="1:24" x14ac:dyDescent="0.2">
      <c r="C11" t="s">
        <v>80</v>
      </c>
      <c r="D11" s="27">
        <f>SUMIFS(data[Cost], data[Geography],E$4)</f>
        <v>53938.530000000021</v>
      </c>
      <c r="E11" s="27">
        <f>AVERAGEIFS(data[Cost], data[Geography],E$4)</f>
        <v>1348.4632500000005</v>
      </c>
      <c r="I11" t="s">
        <v>10</v>
      </c>
      <c r="X11" s="23" t="s">
        <v>9</v>
      </c>
    </row>
    <row r="12" spans="1:24" x14ac:dyDescent="0.2">
      <c r="C12" t="s">
        <v>86</v>
      </c>
      <c r="D12" s="27">
        <f>SUMIFS(data[Total Profit], data[Geography],E$4)</f>
        <v>119591.46999999999</v>
      </c>
      <c r="E12" s="27">
        <f>AVERAGEIFS(data[Total Profit], data[Geography],E$4)</f>
        <v>2989.7867499999998</v>
      </c>
      <c r="I12" t="s">
        <v>9</v>
      </c>
      <c r="X12" s="20" t="s">
        <v>40</v>
      </c>
    </row>
    <row r="13" spans="1:24" x14ac:dyDescent="0.2">
      <c r="C13" t="s">
        <v>87</v>
      </c>
      <c r="D13">
        <f>SUMIFS(data[Units], data[Geography],E$4)</f>
        <v>5745</v>
      </c>
      <c r="E13" s="12">
        <f>AVERAGEIFS(data[Units], data[Geography],E$4)</f>
        <v>143.625</v>
      </c>
      <c r="I13" t="s">
        <v>40</v>
      </c>
      <c r="X13" s="23" t="s">
        <v>8</v>
      </c>
    </row>
    <row r="14" spans="1:24" x14ac:dyDescent="0.2">
      <c r="I14" t="s">
        <v>8</v>
      </c>
      <c r="X14" s="20" t="s">
        <v>3</v>
      </c>
    </row>
    <row r="15" spans="1:24" x14ac:dyDescent="0.2">
      <c r="I15" t="s">
        <v>3</v>
      </c>
    </row>
  </sheetData>
  <conditionalFormatting sqref="M6">
    <cfRule type="iconSet" priority="1">
      <iconSet iconSet="3Symbols" showValue="0">
        <cfvo type="percent" val="0"/>
        <cfvo type="percent" val="33"/>
        <cfvo type="percent" val="67"/>
      </iconSet>
    </cfRule>
  </conditionalFormatting>
  <dataValidations count="1">
    <dataValidation type="list" allowBlank="1" showInputMessage="1" showErrorMessage="1" sqref="U5:U10 E4" xr:uid="{E1E6A5ED-0472-4B7E-A0FA-58349B5F7489}">
      <formula1>$U$5:$U$10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0C2F-FFF1-4727-9861-1654098C0DEA}">
  <dimension ref="A1:D27"/>
  <sheetViews>
    <sheetView workbookViewId="0">
      <selection activeCell="H23" sqref="H23"/>
    </sheetView>
  </sheetViews>
  <sheetFormatPr baseColWidth="10" defaultColWidth="8.83203125" defaultRowHeight="15" x14ac:dyDescent="0.2"/>
  <cols>
    <col min="3" max="3" width="20.33203125" bestFit="1" customWidth="1"/>
    <col min="4" max="4" width="7.5" bestFit="1" customWidth="1"/>
    <col min="5" max="5" width="8" bestFit="1" customWidth="1"/>
    <col min="6" max="6" width="11.33203125" bestFit="1" customWidth="1"/>
    <col min="7" max="7" width="8" bestFit="1" customWidth="1"/>
    <col min="8" max="8" width="11.33203125" bestFit="1" customWidth="1"/>
    <col min="9" max="9" width="8" bestFit="1" customWidth="1"/>
    <col min="10" max="10" width="11.33203125" bestFit="1" customWidth="1"/>
    <col min="11" max="11" width="8" bestFit="1" customWidth="1"/>
    <col min="12" max="12" width="11.33203125" bestFit="1" customWidth="1"/>
    <col min="13" max="13" width="8" bestFit="1" customWidth="1"/>
    <col min="14" max="14" width="11.33203125" bestFit="1" customWidth="1"/>
    <col min="15" max="15" width="8" bestFit="1" customWidth="1"/>
    <col min="16" max="16" width="11.33203125" bestFit="1" customWidth="1"/>
    <col min="17" max="17" width="8" bestFit="1" customWidth="1"/>
    <col min="18" max="18" width="11.33203125" bestFit="1" customWidth="1"/>
    <col min="19" max="19" width="8" bestFit="1" customWidth="1"/>
    <col min="20" max="20" width="11.33203125" bestFit="1" customWidth="1"/>
    <col min="21" max="21" width="8" bestFit="1" customWidth="1"/>
    <col min="22" max="22" width="11.33203125" bestFit="1" customWidth="1"/>
    <col min="23" max="23" width="8" bestFit="1" customWidth="1"/>
    <col min="24" max="24" width="11.33203125" bestFit="1" customWidth="1"/>
    <col min="25" max="25" width="8" bestFit="1" customWidth="1"/>
    <col min="26" max="26" width="11.33203125" bestFit="1" customWidth="1"/>
    <col min="27" max="27" width="8" bestFit="1" customWidth="1"/>
    <col min="28" max="28" width="11.33203125" bestFit="1" customWidth="1"/>
    <col min="29" max="29" width="8" bestFit="1" customWidth="1"/>
    <col min="30" max="30" width="11.33203125" bestFit="1" customWidth="1"/>
    <col min="31" max="31" width="8" bestFit="1" customWidth="1"/>
    <col min="32" max="32" width="11.33203125" bestFit="1" customWidth="1"/>
    <col min="33" max="33" width="8" bestFit="1" customWidth="1"/>
    <col min="34" max="34" width="11.33203125" bestFit="1" customWidth="1"/>
    <col min="35" max="35" width="8" bestFit="1" customWidth="1"/>
    <col min="36" max="36" width="11.33203125" bestFit="1" customWidth="1"/>
    <col min="37" max="37" width="8" bestFit="1" customWidth="1"/>
    <col min="38" max="38" width="11.33203125" bestFit="1" customWidth="1"/>
    <col min="39" max="39" width="8" bestFit="1" customWidth="1"/>
    <col min="40" max="40" width="11.33203125" bestFit="1" customWidth="1"/>
    <col min="41" max="41" width="8" bestFit="1" customWidth="1"/>
    <col min="42" max="42" width="11.33203125" bestFit="1" customWidth="1"/>
    <col min="43" max="43" width="8" bestFit="1" customWidth="1"/>
    <col min="44" max="44" width="11.33203125" bestFit="1" customWidth="1"/>
    <col min="45" max="45" width="8" bestFit="1" customWidth="1"/>
    <col min="46" max="46" width="11.33203125" bestFit="1" customWidth="1"/>
    <col min="47" max="47" width="8" bestFit="1" customWidth="1"/>
    <col min="48" max="48" width="11.33203125" bestFit="1" customWidth="1"/>
    <col min="49" max="49" width="8" bestFit="1" customWidth="1"/>
    <col min="50" max="50" width="11.33203125" bestFit="1" customWidth="1"/>
    <col min="51" max="51" width="8" bestFit="1" customWidth="1"/>
    <col min="52" max="52" width="11.33203125" bestFit="1" customWidth="1"/>
    <col min="53" max="53" width="8" bestFit="1" customWidth="1"/>
    <col min="54" max="54" width="11.33203125" bestFit="1" customWidth="1"/>
    <col min="55" max="55" width="8" bestFit="1" customWidth="1"/>
    <col min="56" max="56" width="11.33203125" bestFit="1" customWidth="1"/>
    <col min="57" max="57" width="8" bestFit="1" customWidth="1"/>
    <col min="58" max="58" width="11.33203125" bestFit="1" customWidth="1"/>
    <col min="59" max="59" width="8" bestFit="1" customWidth="1"/>
    <col min="60" max="60" width="11.33203125" bestFit="1" customWidth="1"/>
    <col min="61" max="61" width="8" bestFit="1" customWidth="1"/>
    <col min="62" max="62" width="11.33203125" bestFit="1" customWidth="1"/>
    <col min="63" max="63" width="8" bestFit="1" customWidth="1"/>
    <col min="64" max="64" width="11.33203125" bestFit="1" customWidth="1"/>
    <col min="65" max="65" width="8" bestFit="1" customWidth="1"/>
    <col min="66" max="66" width="11.33203125" bestFit="1" customWidth="1"/>
    <col min="67" max="67" width="8" bestFit="1" customWidth="1"/>
    <col min="68" max="68" width="11.33203125" bestFit="1" customWidth="1"/>
    <col min="69" max="69" width="8" bestFit="1" customWidth="1"/>
    <col min="70" max="70" width="11.33203125" bestFit="1" customWidth="1"/>
    <col min="71" max="71" width="8" bestFit="1" customWidth="1"/>
    <col min="72" max="72" width="11.33203125" bestFit="1" customWidth="1"/>
    <col min="73" max="73" width="8" bestFit="1" customWidth="1"/>
    <col min="74" max="74" width="11.33203125" bestFit="1" customWidth="1"/>
    <col min="75" max="75" width="8" bestFit="1" customWidth="1"/>
    <col min="76" max="76" width="11.33203125" bestFit="1" customWidth="1"/>
    <col min="77" max="77" width="8" bestFit="1" customWidth="1"/>
    <col min="78" max="78" width="11.33203125" bestFit="1" customWidth="1"/>
    <col min="79" max="79" width="8" bestFit="1" customWidth="1"/>
    <col min="80" max="80" width="11.33203125" bestFit="1" customWidth="1"/>
    <col min="81" max="81" width="8" bestFit="1" customWidth="1"/>
    <col min="82" max="82" width="11.33203125" bestFit="1" customWidth="1"/>
    <col min="83" max="83" width="8" bestFit="1" customWidth="1"/>
    <col min="84" max="84" width="11.33203125" bestFit="1" customWidth="1"/>
    <col min="85" max="85" width="8" bestFit="1" customWidth="1"/>
    <col min="86" max="86" width="11.33203125" bestFit="1" customWidth="1"/>
    <col min="87" max="87" width="8" bestFit="1" customWidth="1"/>
    <col min="88" max="88" width="11.33203125" bestFit="1" customWidth="1"/>
    <col min="89" max="89" width="8" bestFit="1" customWidth="1"/>
    <col min="90" max="90" width="11.33203125" bestFit="1" customWidth="1"/>
    <col min="91" max="91" width="8" bestFit="1" customWidth="1"/>
    <col min="92" max="92" width="11.33203125" bestFit="1" customWidth="1"/>
    <col min="93" max="93" width="8" bestFit="1" customWidth="1"/>
    <col min="94" max="94" width="11.33203125" bestFit="1" customWidth="1"/>
    <col min="95" max="95" width="8" bestFit="1" customWidth="1"/>
    <col min="96" max="96" width="11.33203125" bestFit="1" customWidth="1"/>
    <col min="97" max="97" width="8" bestFit="1" customWidth="1"/>
    <col min="98" max="98" width="11.33203125" bestFit="1" customWidth="1"/>
    <col min="99" max="99" width="8.83203125" bestFit="1" customWidth="1"/>
    <col min="100" max="100" width="11.33203125" bestFit="1" customWidth="1"/>
    <col min="101" max="101" width="8" bestFit="1" customWidth="1"/>
    <col min="102" max="102" width="11.33203125" bestFit="1" customWidth="1"/>
    <col min="103" max="103" width="8" bestFit="1" customWidth="1"/>
    <col min="104" max="104" width="11.33203125" bestFit="1" customWidth="1"/>
    <col min="105" max="105" width="8" bestFit="1" customWidth="1"/>
    <col min="106" max="106" width="11.33203125" bestFit="1" customWidth="1"/>
    <col min="107" max="107" width="8" bestFit="1" customWidth="1"/>
    <col min="108" max="108" width="11.33203125" bestFit="1" customWidth="1"/>
    <col min="109" max="109" width="8" bestFit="1" customWidth="1"/>
    <col min="110" max="110" width="11.33203125" bestFit="1" customWidth="1"/>
    <col min="111" max="111" width="8.83203125" bestFit="1" customWidth="1"/>
    <col min="112" max="112" width="11.33203125" bestFit="1" customWidth="1"/>
    <col min="113" max="113" width="8" bestFit="1" customWidth="1"/>
    <col min="114" max="114" width="11.33203125" bestFit="1" customWidth="1"/>
    <col min="115" max="115" width="8" bestFit="1" customWidth="1"/>
    <col min="116" max="116" width="11.33203125" bestFit="1" customWidth="1"/>
    <col min="117" max="117" width="8" bestFit="1" customWidth="1"/>
    <col min="118" max="118" width="11.33203125" bestFit="1" customWidth="1"/>
    <col min="119" max="119" width="8" bestFit="1" customWidth="1"/>
    <col min="120" max="120" width="11.33203125" bestFit="1" customWidth="1"/>
    <col min="121" max="121" width="8" bestFit="1" customWidth="1"/>
    <col min="122" max="122" width="11.33203125" bestFit="1" customWidth="1"/>
    <col min="123" max="123" width="8" bestFit="1" customWidth="1"/>
    <col min="124" max="124" width="11.33203125" bestFit="1" customWidth="1"/>
    <col min="125" max="125" width="8" bestFit="1" customWidth="1"/>
    <col min="126" max="126" width="11.33203125" bestFit="1" customWidth="1"/>
    <col min="127" max="127" width="8" bestFit="1" customWidth="1"/>
    <col min="128" max="128" width="11.33203125" bestFit="1" customWidth="1"/>
    <col min="129" max="129" width="8" bestFit="1" customWidth="1"/>
    <col min="130" max="130" width="11.33203125" bestFit="1" customWidth="1"/>
    <col min="131" max="131" width="8" bestFit="1" customWidth="1"/>
    <col min="132" max="132" width="11.33203125" bestFit="1" customWidth="1"/>
    <col min="133" max="133" width="8.83203125" bestFit="1" customWidth="1"/>
    <col min="134" max="134" width="11.33203125" bestFit="1" customWidth="1"/>
    <col min="135" max="135" width="8" bestFit="1" customWidth="1"/>
    <col min="136" max="136" width="11.33203125" bestFit="1" customWidth="1"/>
    <col min="137" max="137" width="8" bestFit="1" customWidth="1"/>
    <col min="138" max="138" width="11.33203125" bestFit="1" customWidth="1"/>
    <col min="139" max="139" width="8" bestFit="1" customWidth="1"/>
    <col min="140" max="140" width="11.33203125" bestFit="1" customWidth="1"/>
    <col min="141" max="141" width="8" bestFit="1" customWidth="1"/>
    <col min="142" max="142" width="11.33203125" bestFit="1" customWidth="1"/>
    <col min="143" max="143" width="8" bestFit="1" customWidth="1"/>
    <col min="144" max="144" width="11.33203125" bestFit="1" customWidth="1"/>
    <col min="145" max="145" width="8" bestFit="1" customWidth="1"/>
    <col min="146" max="146" width="11.33203125" bestFit="1" customWidth="1"/>
    <col min="147" max="147" width="8" bestFit="1" customWidth="1"/>
    <col min="148" max="148" width="11.33203125" bestFit="1" customWidth="1"/>
    <col min="149" max="149" width="8" bestFit="1" customWidth="1"/>
    <col min="150" max="150" width="11.33203125" bestFit="1" customWidth="1"/>
    <col min="151" max="151" width="8" bestFit="1" customWidth="1"/>
    <col min="152" max="152" width="11.33203125" bestFit="1" customWidth="1"/>
    <col min="153" max="153" width="8" bestFit="1" customWidth="1"/>
    <col min="154" max="154" width="11.33203125" bestFit="1" customWidth="1"/>
    <col min="155" max="155" width="8" bestFit="1" customWidth="1"/>
    <col min="156" max="156" width="11.33203125" bestFit="1" customWidth="1"/>
    <col min="157" max="157" width="8" bestFit="1" customWidth="1"/>
    <col min="158" max="158" width="11.33203125" bestFit="1" customWidth="1"/>
    <col min="159" max="159" width="8" bestFit="1" customWidth="1"/>
    <col min="160" max="160" width="11.33203125" bestFit="1" customWidth="1"/>
    <col min="161" max="161" width="8" bestFit="1" customWidth="1"/>
    <col min="162" max="162" width="11.33203125" bestFit="1" customWidth="1"/>
    <col min="163" max="163" width="8" bestFit="1" customWidth="1"/>
    <col min="164" max="164" width="11.33203125" bestFit="1" customWidth="1"/>
    <col min="165" max="165" width="8" bestFit="1" customWidth="1"/>
    <col min="166" max="166" width="11.33203125" bestFit="1" customWidth="1"/>
    <col min="167" max="167" width="8" bestFit="1" customWidth="1"/>
    <col min="168" max="168" width="11.33203125" bestFit="1" customWidth="1"/>
    <col min="169" max="169" width="8" bestFit="1" customWidth="1"/>
    <col min="170" max="170" width="11.33203125" bestFit="1" customWidth="1"/>
    <col min="171" max="171" width="8" bestFit="1" customWidth="1"/>
    <col min="172" max="172" width="11.33203125" bestFit="1" customWidth="1"/>
    <col min="173" max="173" width="8" bestFit="1" customWidth="1"/>
    <col min="174" max="174" width="11.33203125" bestFit="1" customWidth="1"/>
    <col min="175" max="175" width="8" bestFit="1" customWidth="1"/>
    <col min="176" max="176" width="11.33203125" bestFit="1" customWidth="1"/>
    <col min="177" max="177" width="8" bestFit="1" customWidth="1"/>
    <col min="178" max="178" width="11.33203125" bestFit="1" customWidth="1"/>
    <col min="179" max="179" width="8" bestFit="1" customWidth="1"/>
    <col min="180" max="180" width="11.33203125" bestFit="1" customWidth="1"/>
    <col min="181" max="181" width="8" bestFit="1" customWidth="1"/>
    <col min="182" max="182" width="11.33203125" bestFit="1" customWidth="1"/>
    <col min="183" max="183" width="8" bestFit="1" customWidth="1"/>
    <col min="184" max="184" width="11.33203125" bestFit="1" customWidth="1"/>
    <col min="185" max="185" width="8" bestFit="1" customWidth="1"/>
    <col min="186" max="186" width="11.33203125" bestFit="1" customWidth="1"/>
    <col min="187" max="187" width="8" bestFit="1" customWidth="1"/>
    <col min="188" max="188" width="11.33203125" bestFit="1" customWidth="1"/>
    <col min="189" max="189" width="8" bestFit="1" customWidth="1"/>
    <col min="190" max="190" width="11.33203125" bestFit="1" customWidth="1"/>
    <col min="191" max="191" width="8" bestFit="1" customWidth="1"/>
    <col min="192" max="192" width="11.33203125" bestFit="1" customWidth="1"/>
    <col min="193" max="193" width="8" bestFit="1" customWidth="1"/>
    <col min="194" max="194" width="11.33203125" bestFit="1" customWidth="1"/>
    <col min="195" max="195" width="8" bestFit="1" customWidth="1"/>
    <col min="196" max="196" width="11.33203125" bestFit="1" customWidth="1"/>
    <col min="197" max="197" width="8" bestFit="1" customWidth="1"/>
    <col min="198" max="198" width="11.33203125" bestFit="1" customWidth="1"/>
    <col min="199" max="199" width="8" bestFit="1" customWidth="1"/>
    <col min="200" max="200" width="11.33203125" bestFit="1" customWidth="1"/>
    <col min="201" max="201" width="8" bestFit="1" customWidth="1"/>
    <col min="202" max="202" width="11.33203125" bestFit="1" customWidth="1"/>
    <col min="203" max="203" width="8" bestFit="1" customWidth="1"/>
    <col min="204" max="204" width="11.33203125" bestFit="1" customWidth="1"/>
    <col min="205" max="205" width="8" bestFit="1" customWidth="1"/>
    <col min="206" max="206" width="11.33203125" bestFit="1" customWidth="1"/>
    <col min="207" max="207" width="8" bestFit="1" customWidth="1"/>
    <col min="208" max="208" width="11.33203125" bestFit="1" customWidth="1"/>
    <col min="209" max="209" width="8" bestFit="1" customWidth="1"/>
    <col min="210" max="210" width="11.33203125" bestFit="1" customWidth="1"/>
    <col min="211" max="211" width="8" bestFit="1" customWidth="1"/>
    <col min="212" max="212" width="11.33203125" bestFit="1" customWidth="1"/>
    <col min="213" max="213" width="8" bestFit="1" customWidth="1"/>
    <col min="214" max="214" width="11.33203125" bestFit="1" customWidth="1"/>
    <col min="215" max="215" width="8" bestFit="1" customWidth="1"/>
    <col min="216" max="216" width="11.33203125" bestFit="1" customWidth="1"/>
    <col min="217" max="217" width="8" bestFit="1" customWidth="1"/>
    <col min="218" max="218" width="11.33203125" bestFit="1" customWidth="1"/>
    <col min="219" max="219" width="8" bestFit="1" customWidth="1"/>
    <col min="220" max="220" width="11.33203125" bestFit="1" customWidth="1"/>
    <col min="221" max="221" width="8" bestFit="1" customWidth="1"/>
    <col min="222" max="222" width="11.33203125" bestFit="1" customWidth="1"/>
    <col min="223" max="223" width="8" bestFit="1" customWidth="1"/>
    <col min="224" max="224" width="11.33203125" bestFit="1" customWidth="1"/>
    <col min="225" max="225" width="8" bestFit="1" customWidth="1"/>
    <col min="226" max="226" width="11.33203125" bestFit="1" customWidth="1"/>
    <col min="227" max="227" width="8" bestFit="1" customWidth="1"/>
    <col min="228" max="228" width="11.33203125" bestFit="1" customWidth="1"/>
    <col min="229" max="229" width="8" bestFit="1" customWidth="1"/>
    <col min="230" max="230" width="11.33203125" bestFit="1" customWidth="1"/>
    <col min="231" max="231" width="8" bestFit="1" customWidth="1"/>
    <col min="232" max="232" width="11.33203125" bestFit="1" customWidth="1"/>
    <col min="233" max="233" width="8" bestFit="1" customWidth="1"/>
    <col min="234" max="234" width="11.33203125" bestFit="1" customWidth="1"/>
    <col min="235" max="235" width="8" bestFit="1" customWidth="1"/>
    <col min="236" max="236" width="11.33203125" bestFit="1" customWidth="1"/>
    <col min="237" max="237" width="8" bestFit="1" customWidth="1"/>
    <col min="238" max="238" width="11.33203125" bestFit="1" customWidth="1"/>
    <col min="239" max="239" width="8" bestFit="1" customWidth="1"/>
    <col min="240" max="240" width="11.33203125" bestFit="1" customWidth="1"/>
    <col min="241" max="241" width="8" bestFit="1" customWidth="1"/>
    <col min="242" max="242" width="11.33203125" bestFit="1" customWidth="1"/>
    <col min="243" max="243" width="8" bestFit="1" customWidth="1"/>
    <col min="244" max="244" width="16.33203125" bestFit="1" customWidth="1"/>
    <col min="245" max="245" width="12.83203125" bestFit="1" customWidth="1"/>
  </cols>
  <sheetData>
    <row r="1" spans="1:4" s="1" customFormat="1" ht="52.5" customHeight="1" x14ac:dyDescent="0.2">
      <c r="A1" s="11"/>
      <c r="C1" s="2" t="s">
        <v>47</v>
      </c>
    </row>
    <row r="4" spans="1:4" x14ac:dyDescent="0.2">
      <c r="C4" s="17" t="s">
        <v>72</v>
      </c>
      <c r="D4" t="s">
        <v>91</v>
      </c>
    </row>
    <row r="5" spans="1:4" x14ac:dyDescent="0.2">
      <c r="C5" s="18" t="s">
        <v>17</v>
      </c>
      <c r="D5" s="33">
        <v>0.88623201142480512</v>
      </c>
    </row>
    <row r="6" spans="1:4" x14ac:dyDescent="0.2">
      <c r="C6" s="18" t="s">
        <v>24</v>
      </c>
      <c r="D6" s="33">
        <v>0.85333597150771667</v>
      </c>
    </row>
    <row r="7" spans="1:4" x14ac:dyDescent="0.2">
      <c r="C7" s="18" t="s">
        <v>26</v>
      </c>
      <c r="D7" s="33">
        <v>0.82930570773981471</v>
      </c>
    </row>
    <row r="8" spans="1:4" x14ac:dyDescent="0.2">
      <c r="C8" s="18" t="s">
        <v>23</v>
      </c>
      <c r="D8" s="33">
        <v>0.79238966174705172</v>
      </c>
    </row>
    <row r="9" spans="1:4" x14ac:dyDescent="0.2">
      <c r="C9" s="18" t="s">
        <v>18</v>
      </c>
      <c r="D9" s="33">
        <v>0.78263777564717163</v>
      </c>
    </row>
    <row r="10" spans="1:4" x14ac:dyDescent="0.2">
      <c r="C10" s="18" t="s">
        <v>31</v>
      </c>
      <c r="D10" s="33">
        <v>0.75181290273285284</v>
      </c>
    </row>
    <row r="11" spans="1:4" x14ac:dyDescent="0.2">
      <c r="C11" s="18" t="s">
        <v>15</v>
      </c>
      <c r="D11" s="33">
        <v>0.73928042220643453</v>
      </c>
    </row>
    <row r="12" spans="1:4" x14ac:dyDescent="0.2">
      <c r="C12" s="18" t="s">
        <v>32</v>
      </c>
      <c r="D12" s="33">
        <v>0.72343365709283425</v>
      </c>
    </row>
    <row r="13" spans="1:4" x14ac:dyDescent="0.2">
      <c r="C13" s="18" t="s">
        <v>22</v>
      </c>
      <c r="D13" s="33">
        <v>0.69753873542235578</v>
      </c>
    </row>
    <row r="14" spans="1:4" x14ac:dyDescent="0.2">
      <c r="C14" s="18" t="s">
        <v>16</v>
      </c>
      <c r="D14" s="33">
        <v>0.69516414161742679</v>
      </c>
    </row>
    <row r="15" spans="1:4" x14ac:dyDescent="0.2">
      <c r="C15" s="18" t="s">
        <v>21</v>
      </c>
      <c r="D15" s="33">
        <v>0.68834056973419466</v>
      </c>
    </row>
    <row r="16" spans="1:4" x14ac:dyDescent="0.2">
      <c r="C16" s="18" t="s">
        <v>33</v>
      </c>
      <c r="D16" s="33">
        <v>0.6683924233661076</v>
      </c>
    </row>
    <row r="17" spans="3:4" x14ac:dyDescent="0.2">
      <c r="C17" s="18" t="s">
        <v>19</v>
      </c>
      <c r="D17" s="33">
        <v>0.6660146611836224</v>
      </c>
    </row>
    <row r="18" spans="3:4" x14ac:dyDescent="0.2">
      <c r="C18" s="18" t="s">
        <v>29</v>
      </c>
      <c r="D18" s="33">
        <v>0.63267492975227979</v>
      </c>
    </row>
    <row r="19" spans="3:4" x14ac:dyDescent="0.2">
      <c r="C19" s="18" t="s">
        <v>13</v>
      </c>
      <c r="D19" s="33">
        <v>0.62874214634765491</v>
      </c>
    </row>
    <row r="20" spans="3:4" x14ac:dyDescent="0.2">
      <c r="C20" s="18" t="s">
        <v>20</v>
      </c>
      <c r="D20" s="33">
        <v>0.57374031291124439</v>
      </c>
    </row>
    <row r="21" spans="3:4" x14ac:dyDescent="0.2">
      <c r="C21" s="18" t="s">
        <v>28</v>
      </c>
      <c r="D21" s="33">
        <v>0.54004034653807342</v>
      </c>
    </row>
    <row r="22" spans="3:4" x14ac:dyDescent="0.2">
      <c r="C22" s="18" t="s">
        <v>25</v>
      </c>
      <c r="D22" s="33">
        <v>0.51729240744614091</v>
      </c>
    </row>
    <row r="23" spans="3:4" x14ac:dyDescent="0.2">
      <c r="C23" s="18" t="s">
        <v>14</v>
      </c>
      <c r="D23" s="33">
        <v>0.45215941458444292</v>
      </c>
    </row>
    <row r="24" spans="3:4" x14ac:dyDescent="0.2">
      <c r="C24" s="18" t="s">
        <v>4</v>
      </c>
      <c r="D24" s="33">
        <v>0.44549849482876808</v>
      </c>
    </row>
    <row r="25" spans="3:4" x14ac:dyDescent="0.2">
      <c r="C25" s="18" t="s">
        <v>30</v>
      </c>
      <c r="D25" s="33">
        <v>0.38945894736842102</v>
      </c>
    </row>
    <row r="26" spans="3:4" x14ac:dyDescent="0.2">
      <c r="C26" s="18" t="s">
        <v>27</v>
      </c>
      <c r="D26" s="33">
        <v>0.28177164164063284</v>
      </c>
    </row>
    <row r="27" spans="3:4" x14ac:dyDescent="0.2">
      <c r="C27" s="18" t="s">
        <v>73</v>
      </c>
      <c r="D27" s="33">
        <v>0.64564854952456707</v>
      </c>
    </row>
  </sheetData>
  <conditionalFormatting pivot="1" sqref="D5:D27">
    <cfRule type="top10" dxfId="0" priority="2" rank="10"/>
  </conditionalFormatting>
  <conditionalFormatting pivot="1" sqref="D5:D26">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F5F0439-2369-4BEC-A96D-CDC8E7E34D92}">
  <ds:schemaRefs/>
</ds:datastoreItem>
</file>

<file path=customXml/itemProps2.xml><?xml version="1.0" encoding="utf-8"?>
<ds:datastoreItem xmlns:ds="http://schemas.openxmlformats.org/officeDocument/2006/customXml" ds:itemID="{684A50C1-CFD3-41F2-B116-EF204DE6968C}">
  <ds:schemaRefs/>
</ds:datastoreItem>
</file>

<file path=customXml/itemProps3.xml><?xml version="1.0" encoding="utf-8"?>
<ds:datastoreItem xmlns:ds="http://schemas.openxmlformats.org/officeDocument/2006/customXml" ds:itemID="{1700288D-0483-41A4-A253-194E405DD965}">
  <ds:schemaRefs/>
</ds:datastoreItem>
</file>

<file path=customXml/itemProps4.xml><?xml version="1.0" encoding="utf-8"?>
<ds:datastoreItem xmlns:ds="http://schemas.openxmlformats.org/officeDocument/2006/customXml" ds:itemID="{19DD7C6B-F691-42A6-8A9E-CB321D5F04CB}">
  <ds:schemaRefs/>
</ds:datastoreItem>
</file>

<file path=customXml/itemProps5.xml><?xml version="1.0" encoding="utf-8"?>
<ds:datastoreItem xmlns:ds="http://schemas.openxmlformats.org/officeDocument/2006/customXml" ds:itemID="{E59D3433-F2D2-4AB8-8438-E553BE782B4A}">
  <ds:schemaRefs/>
</ds:datastoreItem>
</file>

<file path=customXml/itemProps6.xml><?xml version="1.0" encoding="utf-8"?>
<ds:datastoreItem xmlns:ds="http://schemas.openxmlformats.org/officeDocument/2006/customXml" ds:itemID="{33FFDB0B-8832-461E-A160-0D0CF707F48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Context</vt:lpstr>
      <vt:lpstr>Data</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Aleeza T</cp:lastModifiedBy>
  <dcterms:created xsi:type="dcterms:W3CDTF">2021-03-14T20:21:32Z</dcterms:created>
  <dcterms:modified xsi:type="dcterms:W3CDTF">2026-10-19T15:14:35Z</dcterms:modified>
</cp:coreProperties>
</file>